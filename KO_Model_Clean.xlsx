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sumptions" sheetId="1" state="visible" r:id="rId3"/>
    <sheet name="Model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<sst xmlns="http://schemas.openxmlformats.org/spreadsheetml/2006/main" count="168" uniqueCount="164">
  <si>
    <t xml:space="preserve">The Coca-Cola Company (KO) — Assumptions</t>
  </si>
  <si>
    <t xml:space="preserve">Scenario</t>
  </si>
  <si>
    <t xml:space="preserve">Base</t>
  </si>
  <si>
    <t xml:space="preserve">Bear</t>
  </si>
  <si>
    <t xml:space="preserve">Bull</t>
  </si>
  <si>
    <t xml:space="preserve">Assumption</t>
  </si>
  <si>
    <t xml:space="preserve">Active</t>
  </si>
  <si>
    <t xml:space="preserve">INCOME STATEMENT</t>
  </si>
  <si>
    <t xml:space="preserve">  Revenue Growth 2026F</t>
  </si>
  <si>
    <t xml:space="preserve">  Revenue Growth 2027F</t>
  </si>
  <si>
    <t xml:space="preserve">  Gross Margin %</t>
  </si>
  <si>
    <t xml:space="preserve">  SG&amp;A % of Revenue</t>
  </si>
  <si>
    <t xml:space="preserve">  Effective Tax Rate</t>
  </si>
  <si>
    <t xml:space="preserve">  Dividend Payout Ratio</t>
  </si>
  <si>
    <t xml:space="preserve">PP&amp;E SCHEDULE</t>
  </si>
  <si>
    <t xml:space="preserve">  CapEx % of Revenue</t>
  </si>
  <si>
    <t xml:space="preserve">  Depreciation Rate</t>
  </si>
  <si>
    <t xml:space="preserve">WORKING CAPITAL</t>
  </si>
  <si>
    <t xml:space="preserve">  DSO (days)</t>
  </si>
  <si>
    <t xml:space="preserve">  DIO (days)</t>
  </si>
  <si>
    <t xml:space="preserve">  DPO (days)</t>
  </si>
  <si>
    <t xml:space="preserve">DEBT SCHEDULE</t>
  </si>
  <si>
    <t xml:space="preserve">  Annual Debt Repayment ($m)</t>
  </si>
  <si>
    <t xml:space="preserve">  Interest Rate on Debt</t>
  </si>
  <si>
    <t xml:space="preserve">Blue = editable  |  Black = formula  |  USD millions  |  Select scenario in B3</t>
  </si>
  <si>
    <t xml:space="preserve">The Coca-Cola Company (KO) — Integrated 3-Statement Model  ($ millions)</t>
  </si>
  <si>
    <t xml:space="preserve">Blue = hardcoded input  |  Black = formula  |  Forecast driven by Assumptions tab  |  Fiscal year end: December 31  |  Currency: USD</t>
  </si>
  <si>
    <t xml:space="preserve">2022A</t>
  </si>
  <si>
    <t xml:space="preserve">2023A</t>
  </si>
  <si>
    <t xml:space="preserve">2024A</t>
  </si>
  <si>
    <t xml:space="preserve">2025A</t>
  </si>
  <si>
    <t xml:space="preserve">2026F</t>
  </si>
  <si>
    <t xml:space="preserve">2027F</t>
  </si>
  <si>
    <t xml:space="preserve">  INCOME STATEMENT</t>
  </si>
  <si>
    <t xml:space="preserve">  Revenue</t>
  </si>
  <si>
    <t xml:space="preserve">  Cost of Goods Sold (COGS)</t>
  </si>
  <si>
    <t xml:space="preserve">  Gross Profit</t>
  </si>
  <si>
    <t xml:space="preserve">    Gross Margin %</t>
  </si>
  <si>
    <t xml:space="preserve">  Operating Expenses</t>
  </si>
  <si>
    <t xml:space="preserve">  Selling, General &amp; Administrative (SG&amp;A)</t>
  </si>
  <si>
    <t xml:space="preserve">  Research &amp; Development</t>
  </si>
  <si>
    <t xml:space="preserve">  Other Operating Income / (Expense)</t>
  </si>
  <si>
    <t xml:space="preserve">  Total Operating Expenses</t>
  </si>
  <si>
    <t xml:space="preserve">  EBITDA</t>
  </si>
  <si>
    <t xml:space="preserve">    EBITDA Margin %</t>
  </si>
  <si>
    <t xml:space="preserve">  Depreciation &amp; Amortisation  (from PP&amp;E Schedule)</t>
  </si>
  <si>
    <t xml:space="preserve">  EBIT</t>
  </si>
  <si>
    <t xml:space="preserve">    EBIT Margin %</t>
  </si>
  <si>
    <t xml:space="preserve">  Below the Line</t>
  </si>
  <si>
    <t xml:space="preserve">  Interest Expense  (from Debt Schedule)</t>
  </si>
  <si>
    <t xml:space="preserve">  Associates &amp; Other Non-Operating</t>
  </si>
  <si>
    <t xml:space="preserve">  Profit Before Tax (PBT)</t>
  </si>
  <si>
    <t xml:space="preserve">  Tax Expense</t>
  </si>
  <si>
    <t xml:space="preserve">  NET PROFIT</t>
  </si>
  <si>
    <t xml:space="preserve">    Net Profit Margin %</t>
  </si>
  <si>
    <t xml:space="preserve">  Per Share</t>
  </si>
  <si>
    <t xml:space="preserve">  Shares Outstanding (millions)</t>
  </si>
  <si>
    <t xml:space="preserve">  Earnings Per Share (EPS $)</t>
  </si>
  <si>
    <t xml:space="preserve">  Dividend Per Share (DPS $)</t>
  </si>
  <si>
    <t xml:space="preserve">  Growth Rates</t>
  </si>
  <si>
    <t xml:space="preserve">    Revenue Growth %</t>
  </si>
  <si>
    <t xml:space="preserve">    EBITDA Growth %</t>
  </si>
  <si>
    <t xml:space="preserve">    Net Profit Growth %</t>
  </si>
  <si>
    <t xml:space="preserve">  PP&amp;E SCHEDULE</t>
  </si>
  <si>
    <t xml:space="preserve">  Opening Gross PP&amp;E</t>
  </si>
  <si>
    <t xml:space="preserve">      + Capital Expenditure (CapEx)</t>
  </si>
  <si>
    <t xml:space="preserve">      Depreciation for the Year</t>
  </si>
  <si>
    <t xml:space="preserve">      Accumulated Depreciation</t>
  </si>
  <si>
    <t xml:space="preserve">  Closing PP&amp;E (Net)  →  feeds BS + IS D&amp;A</t>
  </si>
  <si>
    <t xml:space="preserve">    CapEx % of Revenue</t>
  </si>
  <si>
    <t xml:space="preserve">  DEBT SCHEDULE</t>
  </si>
  <si>
    <t xml:space="preserve">  Opening Debt Balance</t>
  </si>
  <si>
    <t xml:space="preserve">      + New Debt Raised</t>
  </si>
  <si>
    <t xml:space="preserve">      - Debt Repaid</t>
  </si>
  <si>
    <t xml:space="preserve">  Closing Debt Balance  →  feeds BS</t>
  </si>
  <si>
    <t xml:space="preserve">      Average Debt Balance</t>
  </si>
  <si>
    <t xml:space="preserve">      Interest Expense  →  feeds IS</t>
  </si>
  <si>
    <t xml:space="preserve">  WORKING CAPITAL SCHEDULE</t>
  </si>
  <si>
    <t xml:space="preserve">      AR  =  Revenue x DSO / 365</t>
  </si>
  <si>
    <t xml:space="preserve">      Inventories  =  COGS x DIO / 365</t>
  </si>
  <si>
    <t xml:space="preserve">      Accounts Payable  =  COGS x DPO / 365</t>
  </si>
  <si>
    <t xml:space="preserve">  Net Working Capital  (AR + Inv - AP)</t>
  </si>
  <si>
    <t xml:space="preserve">      Change in AR</t>
  </si>
  <si>
    <t xml:space="preserve">      Change in Inventories</t>
  </si>
  <si>
    <t xml:space="preserve">      Change in AP</t>
  </si>
  <si>
    <t xml:space="preserve">  Change in NWC  →  feeds CF</t>
  </si>
  <si>
    <t xml:space="preserve">  Cash Conversion Cycle (days)</t>
  </si>
  <si>
    <t xml:space="preserve">  RETAINED EARNINGS SCHEDULE</t>
  </si>
  <si>
    <t xml:space="preserve">  Opening Retained Earnings</t>
  </si>
  <si>
    <t xml:space="preserve">      + Net Profit  (from IS)</t>
  </si>
  <si>
    <t xml:space="preserve">      - Dividends Paid</t>
  </si>
  <si>
    <t xml:space="preserve">      +/- Other Equity Movements</t>
  </si>
  <si>
    <t xml:space="preserve">  Closing Retained Earnings  →  feeds BS</t>
  </si>
  <si>
    <t xml:space="preserve">  BALANCE SHEET</t>
  </si>
  <si>
    <t xml:space="preserve">  Current Assets</t>
  </si>
  <si>
    <t xml:space="preserve">      Cash  (from CF Closing Cash)</t>
  </si>
  <si>
    <t xml:space="preserve">      Trade Receivables  (from WC Schedule)</t>
  </si>
  <si>
    <t xml:space="preserve">      Inventories  (from WC Schedule)</t>
  </si>
  <si>
    <t xml:space="preserve">      Other Current Assets</t>
  </si>
  <si>
    <t xml:space="preserve">  Total Current Assets</t>
  </si>
  <si>
    <t xml:space="preserve">  Non-Current Assets</t>
  </si>
  <si>
    <t xml:space="preserve">      PP&amp;E Net  (from PP&amp;E Schedule)</t>
  </si>
  <si>
    <t xml:space="preserve">      Goodwill</t>
  </si>
  <si>
    <t xml:space="preserve">      Other Intangibles</t>
  </si>
  <si>
    <t xml:space="preserve">      Investments &amp; Other</t>
  </si>
  <si>
    <t xml:space="preserve">  Total Non-Current Assets</t>
  </si>
  <si>
    <t xml:space="preserve">  TOTAL ASSETS</t>
  </si>
  <si>
    <t xml:space="preserve">  Current Liabilities</t>
  </si>
  <si>
    <t xml:space="preserve">      Trade Payables  (from WC Schedule)</t>
  </si>
  <si>
    <t xml:space="preserve">      Short-term Borrowings</t>
  </si>
  <si>
    <t xml:space="preserve">      Other Current Liabilities</t>
  </si>
  <si>
    <t xml:space="preserve">  Total Current Liabilities</t>
  </si>
  <si>
    <t xml:space="preserve">  Non-Current Liabilities</t>
  </si>
  <si>
    <t xml:space="preserve">      Long-term Debt  (from Debt Schedule)</t>
  </si>
  <si>
    <t xml:space="preserve">      Pensions &amp; Post-Retirement</t>
  </si>
  <si>
    <t xml:space="preserve">      Other Non-Current Liabilities</t>
  </si>
  <si>
    <t xml:space="preserve">  Total Non-Current Liabilities</t>
  </si>
  <si>
    <t xml:space="preserve">  TOTAL LIABILITIES</t>
  </si>
  <si>
    <t xml:space="preserve">  Equity</t>
  </si>
  <si>
    <t xml:space="preserve">      Share Capital &amp; Premium</t>
  </si>
  <si>
    <t xml:space="preserve">      Retained Earnings  (from RE Schedule)</t>
  </si>
  <si>
    <t xml:space="preserve">      Other Reserves  (treasury stock + AOCI + buybacks)</t>
  </si>
  <si>
    <t xml:space="preserve">      Non-Controlling Interests</t>
  </si>
  <si>
    <t xml:space="preserve">  TOTAL EQUITY</t>
  </si>
  <si>
    <t xml:space="preserve">  TOTAL LIABILITIES + EQUITY</t>
  </si>
  <si>
    <t xml:space="preserve">  Balance Check  (must equal 0)</t>
  </si>
  <si>
    <t xml:space="preserve">  CASH FLOW STATEMENT</t>
  </si>
  <si>
    <t xml:space="preserve">  Operating Activities</t>
  </si>
  <si>
    <t xml:space="preserve">      Net Profit  (from IS)</t>
  </si>
  <si>
    <t xml:space="preserve">      + D&amp;A  (from PP&amp;E Schedule)</t>
  </si>
  <si>
    <t xml:space="preserve">      +/- Change in NWC  (from WC Schedule)</t>
  </si>
  <si>
    <t xml:space="preserve">      +/- Other Operating Adjustments</t>
  </si>
  <si>
    <t xml:space="preserve">  Cash from Operations (CFO)</t>
  </si>
  <si>
    <t xml:space="preserve">    CFO Margin %</t>
  </si>
  <si>
    <t xml:space="preserve">  Investing Activities</t>
  </si>
  <si>
    <t xml:space="preserve">      Capital Expenditure  (from PP&amp;E Schedule)</t>
  </si>
  <si>
    <t xml:space="preserve">      Acquisitions / Disposals</t>
  </si>
  <si>
    <t xml:space="preserve">      Other Investing</t>
  </si>
  <si>
    <t xml:space="preserve">  Cash from Investing (CFI)</t>
  </si>
  <si>
    <t xml:space="preserve">  Financing Activities</t>
  </si>
  <si>
    <t xml:space="preserve">      Dividends Paid  (from RE Schedule)</t>
  </si>
  <si>
    <t xml:space="preserve">      Debt Raised / (Repaid)  (from Debt Schedule)</t>
  </si>
  <si>
    <t xml:space="preserve">      Share Buybacks / Issuances</t>
  </si>
  <si>
    <t xml:space="preserve">      Other Financing</t>
  </si>
  <si>
    <t xml:space="preserve">  Cash from Financing (CFF)</t>
  </si>
  <si>
    <t xml:space="preserve">  Net Change in Cash</t>
  </si>
  <si>
    <t xml:space="preserve">    Opening Cash</t>
  </si>
  <si>
    <t xml:space="preserve">  Closing Cash  →  feeds BS row 95</t>
  </si>
  <si>
    <t xml:space="preserve">  Free Cash Flow</t>
  </si>
  <si>
    <t xml:space="preserve">  Free Cash Flow  (CFO + CapEx)</t>
  </si>
  <si>
    <t xml:space="preserve">    FCF Margin %</t>
  </si>
  <si>
    <t xml:space="preserve">  KEY RATIOS</t>
  </si>
  <si>
    <t xml:space="preserve">  Profitability</t>
  </si>
  <si>
    <t xml:space="preserve">    Return on Equity (ROE %)</t>
  </si>
  <si>
    <t xml:space="preserve">    Return on Assets (ROA %)</t>
  </si>
  <si>
    <t xml:space="preserve">  Leverage</t>
  </si>
  <si>
    <t xml:space="preserve">    Net Debt  (Debt - Cash)</t>
  </si>
  <si>
    <t xml:space="preserve">    Net Debt / EBITDA</t>
  </si>
  <si>
    <t xml:space="preserve">    Interest Coverage  (EBIT / Interest)</t>
  </si>
  <si>
    <t xml:space="preserve">  Liquidity</t>
  </si>
  <si>
    <t xml:space="preserve">    Current Ratio</t>
  </si>
  <si>
    <t xml:space="preserve">    Quick Ratio</t>
  </si>
  <si>
    <t xml:space="preserve">  Market</t>
  </si>
  <si>
    <t xml:space="preserve">    Current Share Price ($)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</si>
</sst>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;\(0.0%\);\-"/>
    <numFmt numFmtId="166" formatCode="0.0%"/>
    <numFmt numFmtId="167" formatCode="0"/>
    <numFmt numFmtId="168" formatCode="#,##0"/>
    <numFmt numFmtId="169" formatCode="#,##0;\(#,##0\);\-"/>
    <numFmt numFmtId="170" formatCode="0.00"/>
    <numFmt numFmtId="171" formatCode="\-"/>
    <numFmt numFmtId="172" formatCode="0.00;\(0.00\);\-"/>
    <numFmt numFmtId="173" formatCode="0.000"/>
    <numFmt numFmtId="174" formatCode="0.0;\(0.0\);\-"/>
    <numFmt numFmtId="175" formatCode="0.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  <font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9"/>
      <color rgb="FF595959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1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C00000"/>
      <name val="Calibri"/>
      <family val="0"/>
      <charset val="1"/>
    </font>
    <font>
      <sz val="10"/>
      <color rgb="FF0070C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BF3FB"/>
      </patternFill>
    </fill>
    <fill>
      <patternFill patternType="solid">
        <fgColor rgb="FFE8E8E8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BF3FB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8CCE4"/>
      </bottom>
      <diagonal/>
    </border>
    <border diagonalUp="false" diagonalDown="false">
      <left/>
      <right/>
      <top/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F3FB"/>
      <rgbColor rgb="FF660066"/>
      <rgbColor rgb="FFFF8080"/>
      <rgbColor rgb="FF0070C0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3" colorId="64" zoomScale="200" zoomScaleNormal="200" zoomScalePageLayoutView="100" workbookViewId="0">
      <selection pane="topLeft" activeCell="B10" activeCellId="0" sqref="B10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5" min="2" style="1" width="10"/>
    <col collapsed="false" customWidth="true" hidden="false" outlineLevel="0" max="6" min="6" style="1" width="8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3"/>
    </row>
    <row r="2" customFormat="false" ht="12.75" hidden="false" customHeight="true" outlineLevel="0" collapsed="false">
      <c r="A2" s="3"/>
      <c r="B2" s="3"/>
      <c r="C2" s="3"/>
      <c r="D2" s="3"/>
      <c r="E2" s="3"/>
      <c r="F2" s="3"/>
    </row>
    <row r="3" customFormat="false" ht="19.5" hidden="false" customHeight="true" outlineLevel="0" collapsed="false">
      <c r="A3" s="4" t="s">
        <v>1</v>
      </c>
      <c r="B3" s="5" t="s">
        <v>2</v>
      </c>
      <c r="C3" s="3" t="s">
        <v>3</v>
      </c>
      <c r="D3" s="3" t="s">
        <v>2</v>
      </c>
      <c r="E3" s="3" t="s">
        <v>4</v>
      </c>
      <c r="F3" s="3"/>
    </row>
    <row r="4" customFormat="false" ht="18" hidden="false" customHeight="true" outlineLevel="0" collapsed="false">
      <c r="A4" s="6" t="s">
        <v>5</v>
      </c>
      <c r="B4" s="7" t="s">
        <v>6</v>
      </c>
      <c r="C4" s="7" t="s">
        <v>3</v>
      </c>
      <c r="D4" s="7" t="s">
        <v>2</v>
      </c>
      <c r="E4" s="7" t="s">
        <v>4</v>
      </c>
      <c r="F4" s="3"/>
    </row>
    <row r="5" customFormat="false" ht="15" hidden="false" customHeight="true" outlineLevel="0" collapsed="false">
      <c r="A5" s="8" t="s">
        <v>7</v>
      </c>
      <c r="B5" s="8"/>
      <c r="C5" s="8"/>
      <c r="D5" s="8"/>
      <c r="E5" s="8"/>
      <c r="F5" s="3"/>
    </row>
    <row r="6" customFormat="false" ht="15.75" hidden="false" customHeight="true" outlineLevel="0" collapsed="false">
      <c r="A6" s="4" t="s">
        <v>8</v>
      </c>
      <c r="B6" s="9" t="n">
        <f aca="false">IF($B$3="Bear",C6,IF($B$3="Base",D6,E6))</f>
        <v>0.05</v>
      </c>
      <c r="C6" s="10" t="n">
        <v>0.04</v>
      </c>
      <c r="D6" s="10" t="n">
        <v>0.05</v>
      </c>
      <c r="E6" s="10" t="n">
        <v>0.06</v>
      </c>
      <c r="F6" s="3"/>
    </row>
    <row r="7" customFormat="false" ht="15.75" hidden="false" customHeight="true" outlineLevel="0" collapsed="false">
      <c r="A7" s="4" t="s">
        <v>9</v>
      </c>
      <c r="B7" s="9" t="n">
        <f aca="false">IF($B$3="Bear",C7,IF($B$3="Base",D7,E7))</f>
        <v>0.05</v>
      </c>
      <c r="C7" s="10" t="n">
        <v>0.04</v>
      </c>
      <c r="D7" s="10" t="n">
        <v>0.05</v>
      </c>
      <c r="E7" s="10" t="n">
        <v>0.06</v>
      </c>
      <c r="F7" s="3"/>
    </row>
    <row r="8" customFormat="false" ht="15.75" hidden="false" customHeight="true" outlineLevel="0" collapsed="false">
      <c r="A8" s="4" t="s">
        <v>10</v>
      </c>
      <c r="B8" s="9" t="n">
        <f aca="false">IF($B$3="Bear",C8,IF($B$3="Base",D8,E8))</f>
        <v>0.615</v>
      </c>
      <c r="C8" s="10" t="n">
        <v>0.6</v>
      </c>
      <c r="D8" s="10" t="n">
        <v>0.615</v>
      </c>
      <c r="E8" s="10" t="n">
        <v>0.625</v>
      </c>
      <c r="F8" s="3"/>
    </row>
    <row r="9" customFormat="false" ht="15.75" hidden="false" customHeight="true" outlineLevel="0" collapsed="false">
      <c r="A9" s="4" t="s">
        <v>11</v>
      </c>
      <c r="B9" s="9" t="n">
        <f aca="false">IF($B$3="Bear",C9,IF($B$3="Base",D9,E9))</f>
        <v>0.305</v>
      </c>
      <c r="C9" s="10" t="n">
        <v>0.315</v>
      </c>
      <c r="D9" s="10" t="n">
        <v>0.305</v>
      </c>
      <c r="E9" s="10" t="n">
        <v>0.295</v>
      </c>
      <c r="F9" s="3"/>
    </row>
    <row r="10" customFormat="false" ht="15.75" hidden="false" customHeight="true" outlineLevel="0" collapsed="false">
      <c r="A10" s="4" t="s">
        <v>12</v>
      </c>
      <c r="B10" s="9" t="n">
        <f aca="false">IF($B$3="Bear",C10,IF($B$3="Base",D10,E10))</f>
        <v>0.185</v>
      </c>
      <c r="C10" s="10" t="n">
        <v>0.2</v>
      </c>
      <c r="D10" s="10" t="n">
        <v>0.185</v>
      </c>
      <c r="E10" s="10" t="n">
        <v>0.175</v>
      </c>
      <c r="F10" s="3"/>
    </row>
    <row r="11" customFormat="false" ht="15.75" hidden="false" customHeight="true" outlineLevel="0" collapsed="false">
      <c r="A11" s="4" t="s">
        <v>13</v>
      </c>
      <c r="B11" s="9" t="n">
        <f aca="false">IF($B$3="Bear",C11,IF($B$3="Base",D11,E11))</f>
        <v>0.75</v>
      </c>
      <c r="C11" s="10" t="n">
        <v>0.8</v>
      </c>
      <c r="D11" s="10" t="n">
        <v>0.75</v>
      </c>
      <c r="E11" s="10" t="n">
        <v>0.7</v>
      </c>
      <c r="F11" s="3"/>
    </row>
    <row r="12" customFormat="false" ht="15" hidden="false" customHeight="true" outlineLevel="0" collapsed="false">
      <c r="A12" s="8" t="s">
        <v>14</v>
      </c>
      <c r="B12" s="8"/>
      <c r="C12" s="8"/>
      <c r="D12" s="8"/>
      <c r="E12" s="8"/>
      <c r="F12" s="3"/>
    </row>
    <row r="13" customFormat="false" ht="15.75" hidden="false" customHeight="true" outlineLevel="0" collapsed="false">
      <c r="A13" s="4" t="s">
        <v>15</v>
      </c>
      <c r="B13" s="9" t="n">
        <f aca="false">IF($B$3="Bear",C13,IF($B$3="Base",D13,E13))</f>
        <v>0.044</v>
      </c>
      <c r="C13" s="10" t="n">
        <v>0.047</v>
      </c>
      <c r="D13" s="10" t="n">
        <v>0.044</v>
      </c>
      <c r="E13" s="10" t="n">
        <v>0.04</v>
      </c>
      <c r="F13" s="3"/>
    </row>
    <row r="14" customFormat="false" ht="15.75" hidden="false" customHeight="true" outlineLevel="0" collapsed="false">
      <c r="A14" s="4" t="s">
        <v>16</v>
      </c>
      <c r="B14" s="9" t="n">
        <f aca="false">IF($B$3="Bear",C14,IF($B$3="Base",D14,E14))</f>
        <v>0.11</v>
      </c>
      <c r="C14" s="10" t="n">
        <v>0.11</v>
      </c>
      <c r="D14" s="10" t="n">
        <v>0.11</v>
      </c>
      <c r="E14" s="10" t="n">
        <v>0.11</v>
      </c>
      <c r="F14" s="3"/>
    </row>
    <row r="15" customFormat="false" ht="15" hidden="false" customHeight="true" outlineLevel="0" collapsed="false">
      <c r="A15" s="8" t="s">
        <v>17</v>
      </c>
      <c r="B15" s="8"/>
      <c r="C15" s="8"/>
      <c r="D15" s="8"/>
      <c r="E15" s="8"/>
      <c r="F15" s="3"/>
    </row>
    <row r="16" customFormat="false" ht="15.75" hidden="false" customHeight="true" outlineLevel="0" collapsed="false">
      <c r="A16" s="4" t="s">
        <v>18</v>
      </c>
      <c r="B16" s="11" t="n">
        <f aca="false">IF($B$3="Bear",C16,IF($B$3="Base",D16,E16))</f>
        <v>35</v>
      </c>
      <c r="C16" s="12" t="n">
        <v>38</v>
      </c>
      <c r="D16" s="12" t="n">
        <v>35</v>
      </c>
      <c r="E16" s="12" t="n">
        <v>32</v>
      </c>
      <c r="F16" s="3"/>
    </row>
    <row r="17" customFormat="false" ht="15.75" hidden="false" customHeight="true" outlineLevel="0" collapsed="false">
      <c r="A17" s="4" t="s">
        <v>19</v>
      </c>
      <c r="B17" s="11" t="n">
        <f aca="false">IF($B$3="Bear",C17,IF($B$3="Base",D17,E17))</f>
        <v>37</v>
      </c>
      <c r="C17" s="12" t="n">
        <v>40</v>
      </c>
      <c r="D17" s="12" t="n">
        <v>37</v>
      </c>
      <c r="E17" s="12" t="n">
        <v>34</v>
      </c>
      <c r="F17" s="3"/>
    </row>
    <row r="18" customFormat="false" ht="15.75" hidden="false" customHeight="true" outlineLevel="0" collapsed="false">
      <c r="A18" s="4" t="s">
        <v>20</v>
      </c>
      <c r="B18" s="11" t="n">
        <f aca="false">IF($B$3="Bear",C18,IF($B$3="Base",D18,E18))</f>
        <v>300</v>
      </c>
      <c r="C18" s="12" t="n">
        <v>290</v>
      </c>
      <c r="D18" s="12" t="n">
        <v>300</v>
      </c>
      <c r="E18" s="12" t="n">
        <v>315</v>
      </c>
      <c r="F18" s="3"/>
    </row>
    <row r="19" customFormat="false" ht="15" hidden="false" customHeight="true" outlineLevel="0" collapsed="false">
      <c r="A19" s="8" t="s">
        <v>21</v>
      </c>
      <c r="B19" s="8"/>
      <c r="C19" s="8"/>
      <c r="D19" s="8"/>
      <c r="E19" s="8"/>
      <c r="F19" s="3"/>
    </row>
    <row r="20" customFormat="false" ht="15.75" hidden="false" customHeight="true" outlineLevel="0" collapsed="false">
      <c r="A20" s="4" t="s">
        <v>22</v>
      </c>
      <c r="B20" s="13" t="n">
        <f aca="false">IF($B$3="Bear",C20,IF($B$3="Base",D20,E20))</f>
        <v>5000</v>
      </c>
      <c r="C20" s="12" t="n">
        <v>4000</v>
      </c>
      <c r="D20" s="12" t="n">
        <v>5000</v>
      </c>
      <c r="E20" s="12" t="n">
        <v>6000</v>
      </c>
      <c r="F20" s="3"/>
    </row>
    <row r="21" customFormat="false" ht="15.75" hidden="false" customHeight="true" outlineLevel="0" collapsed="false">
      <c r="A21" s="4" t="s">
        <v>23</v>
      </c>
      <c r="B21" s="9" t="n">
        <f aca="false">IF($B$3="Bear",C21,IF($B$3="Base",D21,E21))</f>
        <v>0.036</v>
      </c>
      <c r="C21" s="10" t="n">
        <v>0.038</v>
      </c>
      <c r="D21" s="10" t="n">
        <v>0.036</v>
      </c>
      <c r="E21" s="10" t="n">
        <v>0.034</v>
      </c>
      <c r="F21" s="3"/>
    </row>
    <row r="22" customFormat="false" ht="15" hidden="false" customHeight="true" outlineLevel="0" collapsed="false">
      <c r="A22" s="14" t="s">
        <v>24</v>
      </c>
      <c r="B22" s="14"/>
      <c r="C22" s="14"/>
      <c r="D22" s="14"/>
      <c r="E22" s="14"/>
      <c r="F22" s="3"/>
    </row>
    <row r="23" customFormat="false" ht="15.75" hidden="false" customHeight="true" outlineLevel="0" collapsed="false">
      <c r="A23" s="3"/>
      <c r="B23" s="15"/>
      <c r="C23" s="15"/>
      <c r="D23" s="15"/>
      <c r="E23" s="15"/>
      <c r="F23" s="3"/>
    </row>
    <row r="24" customFormat="false" ht="15.75" hidden="false" customHeight="true" outlineLevel="0" collapsed="false">
      <c r="A24" s="3"/>
      <c r="B24" s="16"/>
      <c r="C24" s="16"/>
      <c r="D24" s="16"/>
      <c r="E24" s="16"/>
      <c r="F24" s="3"/>
    </row>
    <row r="25" customFormat="false" ht="15.75" hidden="false" customHeight="true" outlineLevel="0" collapsed="false">
      <c r="A25" s="3"/>
      <c r="B25" s="15"/>
      <c r="C25" s="15"/>
      <c r="D25" s="15"/>
      <c r="E25" s="15"/>
      <c r="F25" s="3"/>
    </row>
    <row r="26" customFormat="false" ht="15" hidden="false" customHeight="true" outlineLevel="0" collapsed="false">
      <c r="A26" s="3"/>
      <c r="B26" s="15"/>
      <c r="C26" s="15"/>
      <c r="D26" s="15"/>
      <c r="E26" s="15"/>
      <c r="F26" s="3"/>
    </row>
    <row r="27" customFormat="false" ht="13.5" hidden="false" customHeight="true" outlineLevel="0" collapsed="false">
      <c r="A27" s="3"/>
      <c r="B27" s="15"/>
      <c r="C27" s="15"/>
      <c r="D27" s="15"/>
      <c r="E27" s="15"/>
      <c r="F27" s="3"/>
    </row>
    <row r="28" customFormat="false" ht="15" hidden="false" customHeight="true" outlineLevel="0" collapsed="false">
      <c r="A28" s="3"/>
      <c r="B28" s="15"/>
      <c r="C28" s="15"/>
      <c r="D28" s="15"/>
      <c r="E28" s="15"/>
      <c r="F28" s="3"/>
    </row>
    <row r="29" customFormat="false" ht="15" hidden="false" customHeight="true" outlineLevel="0" collapsed="false">
      <c r="A29" s="3"/>
      <c r="B29" s="15"/>
      <c r="C29" s="15"/>
      <c r="D29" s="15"/>
      <c r="E29" s="15"/>
      <c r="F29" s="3"/>
    </row>
    <row r="30" customFormat="false" ht="15" hidden="false" customHeight="true" outlineLevel="0" collapsed="false">
      <c r="A30" s="3"/>
      <c r="B30" s="17"/>
      <c r="C30" s="17"/>
      <c r="D30" s="17"/>
      <c r="E30" s="17"/>
      <c r="F30" s="3"/>
    </row>
    <row r="31" customFormat="false" ht="15" hidden="false" customHeight="true" outlineLevel="0" collapsed="false">
      <c r="A31" s="3"/>
      <c r="B31" s="17"/>
      <c r="C31" s="17"/>
      <c r="D31" s="17"/>
      <c r="E31" s="17"/>
      <c r="F31" s="3"/>
    </row>
    <row r="32" customFormat="false" ht="15" hidden="false" customHeight="true" outlineLevel="0" collapsed="false">
      <c r="A32" s="3"/>
      <c r="B32" s="15"/>
      <c r="C32" s="15"/>
      <c r="D32" s="15"/>
      <c r="E32" s="15"/>
      <c r="F32" s="3"/>
    </row>
    <row r="33" customFormat="false" ht="15" hidden="false" customHeight="true" outlineLevel="0" collapsed="false">
      <c r="A33" s="3"/>
      <c r="B33" s="15"/>
      <c r="C33" s="15"/>
      <c r="D33" s="15"/>
      <c r="E33" s="15"/>
      <c r="F33" s="3"/>
    </row>
    <row r="34" customFormat="false" ht="15" hidden="false" customHeight="true" outlineLevel="0" collapsed="false">
      <c r="A34" s="3"/>
      <c r="B34" s="15"/>
      <c r="C34" s="15"/>
      <c r="D34" s="15"/>
      <c r="E34" s="15"/>
      <c r="F34" s="3"/>
    </row>
    <row r="35" customFormat="false" ht="15" hidden="false" customHeight="true" outlineLevel="0" collapsed="false">
      <c r="A35" s="3"/>
      <c r="B35" s="15"/>
      <c r="C35" s="15"/>
      <c r="D35" s="15"/>
      <c r="E35" s="15"/>
      <c r="F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</row>
    <row r="38" customFormat="false" ht="15" hidden="false" customHeight="true" outlineLevel="0" collapsed="false">
      <c r="A38" s="3"/>
      <c r="B38" s="17"/>
      <c r="C38" s="17"/>
      <c r="D38" s="17"/>
      <c r="E38" s="17"/>
      <c r="F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</row>
  </sheetData>
  <mergeCells count="7">
    <mergeCell ref="A1:E1"/>
    <mergeCell ref="A2:E2"/>
    <mergeCell ref="A5:E5"/>
    <mergeCell ref="A12:E12"/>
    <mergeCell ref="A15:E15"/>
    <mergeCell ref="A19:E19"/>
    <mergeCell ref="A22:E22"/>
  </mergeCells>
  <dataValidations count="1">
    <dataValidation allowBlank="false" errorStyle="stop" operator="between" showDropDown="false" showErrorMessage="false" showInputMessage="false" sqref="B3" type="list">
      <formula1>"Bear,Base,Bull"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I186"/>
  <sheetViews>
    <sheetView showFormulas="false" showGridLines="fals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2" ySplit="3" topLeftCell="C42" activePane="bottomRight" state="frozen"/>
      <selection pane="topLeft" activeCell="A1" activeCellId="0" sqref="A1"/>
      <selection pane="topRight" activeCell="C1" activeCellId="0" sqref="C1"/>
      <selection pane="bottomLeft" activeCell="A42" activeCellId="0" sqref="A42"/>
      <selection pane="bottomRight" activeCell="C21" activeCellId="0" sqref="C21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"/>
    <col collapsed="false" customWidth="true" hidden="false" outlineLevel="0" max="8" min="3" style="1" width="12"/>
  </cols>
  <sheetData>
    <row r="1" customFormat="false" ht="24" hidden="false" customHeight="true" outlineLevel="0" collapsed="false">
      <c r="A1" s="18" t="s">
        <v>25</v>
      </c>
      <c r="B1" s="18"/>
      <c r="C1" s="18"/>
      <c r="D1" s="18"/>
      <c r="E1" s="18"/>
      <c r="F1" s="18"/>
      <c r="G1" s="18"/>
      <c r="H1" s="18"/>
    </row>
    <row r="2" customFormat="false" ht="12.75" hidden="false" customHeight="true" outlineLevel="0" collapsed="false">
      <c r="A2" s="19" t="s">
        <v>26</v>
      </c>
      <c r="B2" s="19"/>
      <c r="C2" s="19"/>
      <c r="D2" s="19"/>
      <c r="E2" s="19"/>
      <c r="F2" s="19"/>
      <c r="G2" s="19"/>
      <c r="H2" s="19"/>
    </row>
    <row r="3" customFormat="false" ht="19.5" hidden="false" customHeight="true" outlineLevel="0" collapsed="false">
      <c r="A3" s="20"/>
      <c r="B3" s="20"/>
      <c r="C3" s="21" t="s">
        <v>27</v>
      </c>
      <c r="D3" s="21" t="s">
        <v>28</v>
      </c>
      <c r="E3" s="21" t="s">
        <v>29</v>
      </c>
      <c r="F3" s="21" t="s">
        <v>30</v>
      </c>
      <c r="G3" s="21" t="s">
        <v>31</v>
      </c>
      <c r="H3" s="21" t="s">
        <v>32</v>
      </c>
    </row>
    <row r="4" customFormat="false" ht="15" hidden="false" customHeight="true" outlineLevel="0" collapsed="false">
      <c r="A4" s="22" t="s">
        <v>33</v>
      </c>
      <c r="B4" s="22"/>
      <c r="C4" s="22"/>
      <c r="D4" s="22"/>
      <c r="E4" s="22"/>
      <c r="F4" s="22"/>
      <c r="G4" s="22"/>
      <c r="H4" s="22"/>
    </row>
    <row r="5" customFormat="false" ht="4.5" hidden="false" customHeight="true" outlineLevel="0" collapsed="false">
      <c r="A5" s="23"/>
      <c r="B5" s="23"/>
      <c r="C5" s="23"/>
      <c r="D5" s="23"/>
      <c r="E5" s="23"/>
      <c r="F5" s="23"/>
      <c r="G5" s="23"/>
      <c r="H5" s="23"/>
    </row>
    <row r="6" customFormat="false" ht="15.75" hidden="false" customHeight="true" outlineLevel="0" collapsed="false">
      <c r="A6" s="24" t="s">
        <v>34</v>
      </c>
      <c r="B6" s="23"/>
      <c r="C6" s="25" t="n">
        <v>43004</v>
      </c>
      <c r="D6" s="25" t="n">
        <v>45754</v>
      </c>
      <c r="E6" s="25" t="n">
        <v>47061</v>
      </c>
      <c r="F6" s="25" t="n">
        <v>47941</v>
      </c>
      <c r="G6" s="26" t="n">
        <f aca="false">F6*(1+Assumptions!B6)</f>
        <v>50338.05</v>
      </c>
      <c r="H6" s="26" t="n">
        <f aca="false">G6*(1+Assumptions!B7)</f>
        <v>52854.9525</v>
      </c>
    </row>
    <row r="7" customFormat="false" ht="4.5" hidden="false" customHeight="true" outlineLevel="0" collapsed="false">
      <c r="A7" s="23"/>
      <c r="B7" s="23"/>
      <c r="C7" s="23"/>
      <c r="D7" s="23"/>
      <c r="E7" s="23"/>
      <c r="F7" s="23"/>
      <c r="G7" s="23"/>
      <c r="H7" s="23"/>
    </row>
    <row r="8" customFormat="false" ht="15.75" hidden="false" customHeight="true" outlineLevel="0" collapsed="false">
      <c r="A8" s="24" t="s">
        <v>35</v>
      </c>
      <c r="B8" s="23"/>
      <c r="C8" s="25" t="n">
        <v>-18000</v>
      </c>
      <c r="D8" s="25" t="n">
        <v>-18520</v>
      </c>
      <c r="E8" s="25" t="n">
        <v>-18324</v>
      </c>
      <c r="F8" s="25" t="n">
        <v>-18397</v>
      </c>
      <c r="G8" s="26" t="n">
        <f aca="false">-(G6*(1-Assumptions!B8))</f>
        <v>-19380.14925</v>
      </c>
      <c r="H8" s="26" t="n">
        <f aca="false">-(H6*(1-Assumptions!B8))</f>
        <v>-20349.1567125</v>
      </c>
    </row>
    <row r="9" customFormat="false" ht="4.5" hidden="false" customHeight="true" outlineLevel="0" collapsed="false">
      <c r="A9" s="23"/>
      <c r="B9" s="23"/>
      <c r="C9" s="23"/>
      <c r="D9" s="23"/>
      <c r="E9" s="23"/>
      <c r="F9" s="23"/>
      <c r="G9" s="23"/>
      <c r="H9" s="23"/>
    </row>
    <row r="10" customFormat="false" ht="16.5" hidden="false" customHeight="true" outlineLevel="0" collapsed="false">
      <c r="A10" s="27" t="s">
        <v>36</v>
      </c>
      <c r="B10" s="28"/>
      <c r="C10" s="29" t="n">
        <f aca="false">C6+C8</f>
        <v>25004</v>
      </c>
      <c r="D10" s="29" t="n">
        <f aca="false">D6+D8</f>
        <v>27234</v>
      </c>
      <c r="E10" s="29" t="n">
        <f aca="false">E6+E8</f>
        <v>28737</v>
      </c>
      <c r="F10" s="29" t="n">
        <f aca="false">F6+F8</f>
        <v>29544</v>
      </c>
      <c r="G10" s="29" t="n">
        <f aca="false">G6+G8</f>
        <v>30957.90075</v>
      </c>
      <c r="H10" s="29" t="n">
        <f aca="false">H6+H8</f>
        <v>32505.7957875</v>
      </c>
    </row>
    <row r="11" customFormat="false" ht="15.75" hidden="false" customHeight="true" outlineLevel="0" collapsed="false">
      <c r="A11" s="24" t="s">
        <v>37</v>
      </c>
      <c r="B11" s="23"/>
      <c r="C11" s="30" t="n">
        <f aca="false">C10/C6</f>
        <v>0.581434285182774</v>
      </c>
      <c r="D11" s="30" t="n">
        <f aca="false">D10/D6</f>
        <v>0.595226646850549</v>
      </c>
      <c r="E11" s="30" t="n">
        <f aca="false">E10/E6</f>
        <v>0.61063300822337</v>
      </c>
      <c r="F11" s="30" t="n">
        <f aca="false">F10/F6</f>
        <v>0.61625748315638</v>
      </c>
      <c r="G11" s="30" t="n">
        <f aca="false">G10/G6</f>
        <v>0.615</v>
      </c>
      <c r="H11" s="30" t="n">
        <f aca="false">H10/H6</f>
        <v>0.615</v>
      </c>
    </row>
    <row r="12" customFormat="false" ht="4.5" hidden="false" customHeight="true" outlineLevel="0" collapsed="false">
      <c r="A12" s="23"/>
      <c r="B12" s="23"/>
      <c r="C12" s="23"/>
      <c r="D12" s="23"/>
      <c r="E12" s="23"/>
      <c r="F12" s="23"/>
      <c r="G12" s="23"/>
      <c r="H12" s="23"/>
    </row>
    <row r="13" customFormat="false" ht="15" hidden="false" customHeight="true" outlineLevel="0" collapsed="false">
      <c r="A13" s="22" t="s">
        <v>38</v>
      </c>
      <c r="B13" s="22"/>
      <c r="C13" s="22"/>
      <c r="D13" s="22"/>
      <c r="E13" s="22"/>
      <c r="F13" s="22"/>
      <c r="G13" s="22"/>
      <c r="H13" s="22"/>
    </row>
    <row r="14" customFormat="false" ht="4.5" hidden="false" customHeight="true" outlineLevel="0" collapsed="false">
      <c r="A14" s="23"/>
      <c r="B14" s="23"/>
      <c r="C14" s="23"/>
      <c r="D14" s="23"/>
      <c r="E14" s="23"/>
      <c r="F14" s="23"/>
      <c r="G14" s="23"/>
      <c r="H14" s="23"/>
    </row>
    <row r="15" customFormat="false" ht="15.75" hidden="false" customHeight="true" outlineLevel="0" collapsed="false">
      <c r="A15" s="24" t="s">
        <v>39</v>
      </c>
      <c r="B15" s="23"/>
      <c r="C15" s="25" t="n">
        <v>-12880</v>
      </c>
      <c r="D15" s="25" t="n">
        <v>-13972</v>
      </c>
      <c r="E15" s="25" t="n">
        <v>-14582</v>
      </c>
      <c r="F15" s="25" t="n">
        <v>-14521</v>
      </c>
      <c r="G15" s="26" t="n">
        <f aca="false">-(G6*Assumptions!B9)</f>
        <v>-15353.10525</v>
      </c>
      <c r="H15" s="26" t="n">
        <f aca="false">-(H6*Assumptions!B9)</f>
        <v>-16120.7605125</v>
      </c>
    </row>
    <row r="16" customFormat="false" ht="15.75" hidden="false" customHeight="true" outlineLevel="0" collapsed="false">
      <c r="A16" s="24" t="s">
        <v>40</v>
      </c>
      <c r="B16" s="23"/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0</v>
      </c>
      <c r="H16" s="31" t="n">
        <v>0</v>
      </c>
      <c r="I16" s="32"/>
    </row>
    <row r="17" customFormat="false" ht="15.75" hidden="false" customHeight="true" outlineLevel="0" collapsed="false">
      <c r="A17" s="24" t="s">
        <v>41</v>
      </c>
      <c r="B17" s="23"/>
      <c r="C17" s="25" t="n">
        <v>-1215</v>
      </c>
      <c r="D17" s="25" t="n">
        <v>-1951</v>
      </c>
      <c r="E17" s="25" t="n">
        <v>-4163</v>
      </c>
      <c r="F17" s="25" t="n">
        <v>-1261</v>
      </c>
      <c r="G17" s="26" t="n">
        <v>0</v>
      </c>
      <c r="H17" s="26" t="n">
        <v>0</v>
      </c>
    </row>
    <row r="18" customFormat="false" ht="16.5" hidden="false" customHeight="true" outlineLevel="0" collapsed="false">
      <c r="A18" s="27" t="s">
        <v>42</v>
      </c>
      <c r="B18" s="28"/>
      <c r="C18" s="29" t="n">
        <f aca="false">C15+C16+C17</f>
        <v>-14095</v>
      </c>
      <c r="D18" s="29" t="n">
        <f aca="false">D15+D16+D17</f>
        <v>-15923</v>
      </c>
      <c r="E18" s="29" t="n">
        <f aca="false">E15+E16+E17</f>
        <v>-18745</v>
      </c>
      <c r="F18" s="29" t="n">
        <f aca="false">F15+F16+F17</f>
        <v>-15782</v>
      </c>
      <c r="G18" s="29" t="n">
        <f aca="false">G15+G16+G17</f>
        <v>-15353.10525</v>
      </c>
      <c r="H18" s="29" t="n">
        <f aca="false">H15+H16+H17</f>
        <v>-16120.7605125</v>
      </c>
    </row>
    <row r="19" customFormat="false" ht="4.5" hidden="false" customHeight="true" outlineLevel="0" collapsed="false">
      <c r="A19" s="23"/>
      <c r="B19" s="23"/>
      <c r="C19" s="23"/>
      <c r="D19" s="23"/>
      <c r="E19" s="23"/>
      <c r="F19" s="23"/>
      <c r="G19" s="23"/>
      <c r="H19" s="23"/>
    </row>
    <row r="20" customFormat="false" ht="16.5" hidden="false" customHeight="true" outlineLevel="0" collapsed="false">
      <c r="A20" s="27" t="s">
        <v>43</v>
      </c>
      <c r="B20" s="28"/>
      <c r="C20" s="29" t="n">
        <f aca="false">C10+C18</f>
        <v>10909</v>
      </c>
      <c r="D20" s="29" t="n">
        <f aca="false">D10+D18</f>
        <v>11311</v>
      </c>
      <c r="E20" s="29" t="n">
        <f aca="false">E10+E18</f>
        <v>9992</v>
      </c>
      <c r="F20" s="29" t="n">
        <f aca="false">F10+F18</f>
        <v>13762</v>
      </c>
      <c r="G20" s="29" t="n">
        <f aca="false">G10+G18</f>
        <v>15604.7955</v>
      </c>
      <c r="H20" s="29" t="n">
        <f aca="false">H10+H18</f>
        <v>16385.035275</v>
      </c>
    </row>
    <row r="21" customFormat="false" ht="15.75" hidden="false" customHeight="true" outlineLevel="0" collapsed="false">
      <c r="A21" s="24" t="s">
        <v>44</v>
      </c>
      <c r="B21" s="23"/>
      <c r="C21" s="30" t="n">
        <f aca="false">C20/C6</f>
        <v>0.253674076830062</v>
      </c>
      <c r="D21" s="30" t="n">
        <f aca="false">D20/D6</f>
        <v>0.247213358394894</v>
      </c>
      <c r="E21" s="30" t="n">
        <f aca="false">E20/E6</f>
        <v>0.212320180191666</v>
      </c>
      <c r="F21" s="30" t="n">
        <f aca="false">F20/F6</f>
        <v>0.287061179366304</v>
      </c>
      <c r="G21" s="30" t="n">
        <f aca="false">G20/G6</f>
        <v>0.31</v>
      </c>
      <c r="H21" s="30" t="n">
        <f aca="false">H20/H6</f>
        <v>0.31</v>
      </c>
    </row>
    <row r="22" customFormat="false" ht="4.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</row>
    <row r="23" customFormat="false" ht="15.75" hidden="false" customHeight="true" outlineLevel="0" collapsed="false">
      <c r="A23" s="24" t="s">
        <v>45</v>
      </c>
      <c r="B23" s="23"/>
      <c r="C23" s="26" t="n">
        <f aca="false">C55</f>
        <v>-1260</v>
      </c>
      <c r="D23" s="26" t="n">
        <f aca="false">D55</f>
        <v>-1128</v>
      </c>
      <c r="E23" s="26" t="n">
        <f aca="false">E55</f>
        <v>-1075</v>
      </c>
      <c r="F23" s="26" t="n">
        <f aca="false">F55</f>
        <v>-1050</v>
      </c>
      <c r="G23" s="26" t="n">
        <f aca="false">G55</f>
        <v>-1057.43</v>
      </c>
      <c r="H23" s="26" t="n">
        <f aca="false">H55</f>
        <v>-1184.748862</v>
      </c>
    </row>
    <row r="24" customFormat="false" ht="4.5" hidden="false" customHeight="true" outlineLevel="0" collapsed="false">
      <c r="A24" s="23"/>
      <c r="B24" s="23"/>
      <c r="C24" s="23"/>
      <c r="D24" s="23"/>
      <c r="E24" s="23"/>
      <c r="F24" s="23"/>
      <c r="G24" s="23"/>
      <c r="H24" s="23"/>
    </row>
    <row r="25" customFormat="false" ht="16.5" hidden="false" customHeight="true" outlineLevel="0" collapsed="false">
      <c r="A25" s="27" t="s">
        <v>46</v>
      </c>
      <c r="B25" s="28"/>
      <c r="C25" s="29" t="n">
        <f aca="false">C20+C23</f>
        <v>9649</v>
      </c>
      <c r="D25" s="29" t="n">
        <f aca="false">D20+D23</f>
        <v>10183</v>
      </c>
      <c r="E25" s="29" t="n">
        <f aca="false">E20+E23</f>
        <v>8917</v>
      </c>
      <c r="F25" s="29" t="n">
        <f aca="false">F20+F23</f>
        <v>12712</v>
      </c>
      <c r="G25" s="29" t="n">
        <f aca="false">G20+G23</f>
        <v>14547.3655</v>
      </c>
      <c r="H25" s="29" t="n">
        <f aca="false">H20+H23</f>
        <v>15200.286413</v>
      </c>
    </row>
    <row r="26" customFormat="false" ht="15.75" hidden="false" customHeight="true" outlineLevel="0" collapsed="false">
      <c r="A26" s="24" t="s">
        <v>47</v>
      </c>
      <c r="B26" s="23"/>
      <c r="C26" s="30" t="n">
        <f aca="false">C25/C6</f>
        <v>0.224374476792857</v>
      </c>
      <c r="D26" s="30" t="n">
        <f aca="false">D25/D6</f>
        <v>0.222559776194431</v>
      </c>
      <c r="E26" s="30" t="n">
        <f aca="false">E25/E6</f>
        <v>0.189477486666242</v>
      </c>
      <c r="F26" s="30" t="n">
        <f aca="false">F25/F6</f>
        <v>0.265159258254938</v>
      </c>
      <c r="G26" s="30" t="n">
        <f aca="false">G25/G6</f>
        <v>0.288993425450529</v>
      </c>
      <c r="H26" s="30" t="n">
        <f aca="false">H25/H6</f>
        <v>0.287584903477115</v>
      </c>
    </row>
    <row r="27" customFormat="false" ht="4.5" hidden="false" customHeight="true" outlineLevel="0" collapsed="false">
      <c r="A27" s="23"/>
      <c r="B27" s="23"/>
      <c r="C27" s="23"/>
      <c r="D27" s="23"/>
      <c r="E27" s="23"/>
      <c r="F27" s="23"/>
      <c r="G27" s="23"/>
      <c r="H27" s="23"/>
    </row>
    <row r="28" customFormat="false" ht="15" hidden="false" customHeight="true" outlineLevel="0" collapsed="false">
      <c r="A28" s="22" t="s">
        <v>48</v>
      </c>
      <c r="B28" s="22"/>
      <c r="C28" s="22"/>
      <c r="D28" s="22"/>
      <c r="E28" s="22"/>
      <c r="F28" s="22"/>
      <c r="G28" s="22"/>
      <c r="H28" s="22"/>
    </row>
    <row r="29" customFormat="false" ht="4.5" hidden="false" customHeight="true" outlineLevel="0" collapsed="false">
      <c r="A29" s="23"/>
      <c r="B29" s="23"/>
      <c r="C29" s="23"/>
      <c r="D29" s="23"/>
      <c r="E29" s="23"/>
      <c r="F29" s="23"/>
      <c r="G29" s="23"/>
      <c r="H29" s="23"/>
    </row>
    <row r="30" customFormat="false" ht="15.75" hidden="false" customHeight="true" outlineLevel="0" collapsed="false">
      <c r="A30" s="24" t="s">
        <v>49</v>
      </c>
      <c r="B30" s="23"/>
      <c r="C30" s="33" t="n">
        <v>-882</v>
      </c>
      <c r="D30" s="33" t="n">
        <v>-1527</v>
      </c>
      <c r="E30" s="33" t="n">
        <v>-1656</v>
      </c>
      <c r="F30" s="33" t="n">
        <v>-1654</v>
      </c>
      <c r="G30" s="26" t="n">
        <f aca="false">G69</f>
        <v>-1426.284</v>
      </c>
      <c r="H30" s="26" t="n">
        <f aca="false">H69</f>
        <v>-1246.284</v>
      </c>
    </row>
    <row r="31" customFormat="false" ht="15.75" hidden="false" customHeight="true" outlineLevel="0" collapsed="false">
      <c r="A31" s="24" t="s">
        <v>50</v>
      </c>
      <c r="B31" s="23"/>
      <c r="C31" s="34" t="n">
        <v>1210</v>
      </c>
      <c r="D31" s="34" t="n">
        <v>2261</v>
      </c>
      <c r="E31" s="34" t="n">
        <v>3762</v>
      </c>
      <c r="F31" s="34" t="n">
        <v>3104</v>
      </c>
      <c r="G31" s="26" t="n">
        <f aca="false">F31</f>
        <v>3104</v>
      </c>
      <c r="H31" s="26" t="n">
        <f aca="false">G31</f>
        <v>3104</v>
      </c>
    </row>
    <row r="32" customFormat="false" ht="4.5" hidden="false" customHeight="true" outlineLevel="0" collapsed="false">
      <c r="A32" s="23"/>
      <c r="B32" s="23"/>
      <c r="C32" s="23"/>
      <c r="D32" s="23"/>
      <c r="E32" s="23"/>
      <c r="F32" s="23"/>
      <c r="G32" s="23"/>
      <c r="H32" s="23"/>
    </row>
    <row r="33" customFormat="false" ht="16.5" hidden="false" customHeight="true" outlineLevel="0" collapsed="false">
      <c r="A33" s="27" t="s">
        <v>51</v>
      </c>
      <c r="B33" s="28"/>
      <c r="C33" s="29" t="n">
        <f aca="false">C25+C30+C31</f>
        <v>9977</v>
      </c>
      <c r="D33" s="29" t="n">
        <f aca="false">D25+D30+D31</f>
        <v>10917</v>
      </c>
      <c r="E33" s="29" t="n">
        <f aca="false">E25+E30+E31</f>
        <v>11023</v>
      </c>
      <c r="F33" s="29" t="n">
        <f aca="false">F25+F30+F31</f>
        <v>14162</v>
      </c>
      <c r="G33" s="29" t="n">
        <f aca="false">G25+G30+G31</f>
        <v>16225.0815</v>
      </c>
      <c r="H33" s="29" t="n">
        <f aca="false">H25+H30+H31</f>
        <v>17058.002413</v>
      </c>
    </row>
    <row r="34" customFormat="false" ht="15.75" hidden="false" customHeight="true" outlineLevel="0" collapsed="false">
      <c r="A34" s="24" t="s">
        <v>52</v>
      </c>
      <c r="B34" s="23"/>
      <c r="C34" s="33" t="n">
        <v>-2115</v>
      </c>
      <c r="D34" s="33" t="n">
        <v>-2249</v>
      </c>
      <c r="E34" s="33" t="n">
        <v>-2437</v>
      </c>
      <c r="F34" s="33" t="n">
        <v>-2861</v>
      </c>
      <c r="G34" s="26" t="n">
        <f aca="false">-(G33*Assumptions!B10)</f>
        <v>-3001.6400775</v>
      </c>
      <c r="H34" s="26" t="n">
        <f aca="false">-(H33*Assumptions!B10)</f>
        <v>-3155.730446405</v>
      </c>
    </row>
    <row r="35" customFormat="false" ht="4.5" hidden="false" customHeight="true" outlineLevel="0" collapsed="false">
      <c r="A35" s="23"/>
      <c r="B35" s="23"/>
      <c r="C35" s="23"/>
      <c r="D35" s="23"/>
      <c r="E35" s="23"/>
      <c r="F35" s="23"/>
      <c r="G35" s="23"/>
      <c r="H35" s="23"/>
    </row>
    <row r="36" customFormat="false" ht="16.5" hidden="false" customHeight="true" outlineLevel="0" collapsed="false">
      <c r="A36" s="27" t="s">
        <v>53</v>
      </c>
      <c r="B36" s="28"/>
      <c r="C36" s="29" t="n">
        <f aca="false">C33+C34</f>
        <v>7862</v>
      </c>
      <c r="D36" s="29" t="n">
        <f aca="false">D33+D34</f>
        <v>8668</v>
      </c>
      <c r="E36" s="29" t="n">
        <f aca="false">E33+E34</f>
        <v>8586</v>
      </c>
      <c r="F36" s="29" t="n">
        <f aca="false">F33+F34</f>
        <v>11301</v>
      </c>
      <c r="G36" s="29" t="n">
        <f aca="false">G33+G34</f>
        <v>13223.4414225</v>
      </c>
      <c r="H36" s="29" t="n">
        <f aca="false">H33+H34</f>
        <v>13902.271966595</v>
      </c>
    </row>
    <row r="37" customFormat="false" ht="15.75" hidden="false" customHeight="true" outlineLevel="0" collapsed="false">
      <c r="A37" s="24" t="s">
        <v>54</v>
      </c>
      <c r="B37" s="23"/>
      <c r="C37" s="30" t="n">
        <f aca="false">C36/C6</f>
        <v>0.182820202771835</v>
      </c>
      <c r="D37" s="30" t="n">
        <f aca="false">D36/D6</f>
        <v>0.189447917122</v>
      </c>
      <c r="E37" s="30" t="n">
        <f aca="false">E36/E6</f>
        <v>0.182444061962134</v>
      </c>
      <c r="F37" s="30" t="n">
        <f aca="false">F36/F6</f>
        <v>0.23572724807576</v>
      </c>
      <c r="G37" s="30" t="n">
        <f aca="false">G36/G6</f>
        <v>0.26269276268151</v>
      </c>
      <c r="H37" s="30" t="n">
        <f aca="false">H36/H6</f>
        <v>0.263026855744407</v>
      </c>
    </row>
    <row r="38" customFormat="false" ht="4.5" hidden="false" customHeight="true" outlineLevel="0" collapsed="false">
      <c r="A38" s="23"/>
      <c r="B38" s="23"/>
      <c r="C38" s="23"/>
      <c r="D38" s="23"/>
      <c r="E38" s="23"/>
      <c r="F38" s="23"/>
      <c r="G38" s="23"/>
      <c r="H38" s="23"/>
    </row>
    <row r="39" customFormat="false" ht="15" hidden="false" customHeight="true" outlineLevel="0" collapsed="false">
      <c r="A39" s="22" t="s">
        <v>55</v>
      </c>
      <c r="B39" s="22"/>
      <c r="C39" s="22"/>
      <c r="D39" s="22"/>
      <c r="E39" s="22"/>
      <c r="F39" s="22"/>
      <c r="G39" s="22"/>
      <c r="H39" s="22"/>
    </row>
    <row r="40" customFormat="false" ht="4.5" hidden="false" customHeight="true" outlineLevel="0" collapsed="false">
      <c r="A40" s="23"/>
      <c r="B40" s="23"/>
      <c r="C40" s="23"/>
      <c r="D40" s="23"/>
      <c r="E40" s="23"/>
      <c r="F40" s="23"/>
      <c r="G40" s="23"/>
      <c r="H40" s="23"/>
    </row>
    <row r="41" customFormat="false" ht="15.75" hidden="false" customHeight="true" outlineLevel="0" collapsed="false">
      <c r="A41" s="24" t="s">
        <v>56</v>
      </c>
      <c r="B41" s="23"/>
      <c r="C41" s="25" t="n">
        <v>4350</v>
      </c>
      <c r="D41" s="25" t="n">
        <v>4339</v>
      </c>
      <c r="E41" s="25" t="n">
        <v>4320</v>
      </c>
      <c r="F41" s="25" t="n">
        <v>4313</v>
      </c>
      <c r="G41" s="35" t="n">
        <v>4313</v>
      </c>
      <c r="H41" s="35" t="n">
        <v>4313</v>
      </c>
    </row>
    <row r="42" customFormat="false" ht="15.75" hidden="false" customHeight="true" outlineLevel="0" collapsed="false">
      <c r="A42" s="24" t="s">
        <v>57</v>
      </c>
      <c r="B42" s="23"/>
      <c r="C42" s="36" t="n">
        <f aca="false">C36/C41</f>
        <v>1.80735632183908</v>
      </c>
      <c r="D42" s="36" t="n">
        <f aca="false">D36/D41</f>
        <v>1.99769532150265</v>
      </c>
      <c r="E42" s="36" t="n">
        <f aca="false">E36/E41</f>
        <v>1.9875</v>
      </c>
      <c r="F42" s="36" t="n">
        <f aca="false">F36/F41</f>
        <v>2.62021794574542</v>
      </c>
      <c r="G42" s="36" t="n">
        <f aca="false">G36/G41</f>
        <v>3.06594978495247</v>
      </c>
      <c r="H42" s="36" t="n">
        <f aca="false">H36/H41</f>
        <v>3.22334151787503</v>
      </c>
    </row>
    <row r="43" customFormat="false" ht="15.75" hidden="false" customHeight="true" outlineLevel="0" collapsed="false">
      <c r="A43" s="24" t="s">
        <v>58</v>
      </c>
      <c r="B43" s="23"/>
      <c r="C43" s="37" t="n">
        <v>1.76</v>
      </c>
      <c r="D43" s="37" t="n">
        <v>1.84</v>
      </c>
      <c r="E43" s="37" t="n">
        <v>1.94</v>
      </c>
      <c r="F43" s="37" t="n">
        <v>2.04</v>
      </c>
      <c r="G43" s="36" t="n">
        <f aca="false">G42*Assumptions!B11</f>
        <v>2.29946233871435</v>
      </c>
      <c r="H43" s="36" t="n">
        <f aca="false">H42*Assumptions!B11</f>
        <v>2.41750613840627</v>
      </c>
    </row>
    <row r="44" customFormat="false" ht="4.5" hidden="false" customHeight="true" outlineLevel="0" collapsed="false">
      <c r="A44" s="23"/>
      <c r="B44" s="23"/>
      <c r="C44" s="23"/>
      <c r="D44" s="23"/>
      <c r="E44" s="23"/>
      <c r="F44" s="23"/>
      <c r="G44" s="23"/>
      <c r="H44" s="23"/>
    </row>
    <row r="45" customFormat="false" ht="15" hidden="false" customHeight="true" outlineLevel="0" collapsed="false">
      <c r="A45" s="22" t="s">
        <v>59</v>
      </c>
      <c r="B45" s="22"/>
      <c r="C45" s="22"/>
      <c r="D45" s="22"/>
      <c r="E45" s="22"/>
      <c r="F45" s="22"/>
      <c r="G45" s="22"/>
      <c r="H45" s="22"/>
    </row>
    <row r="46" customFormat="false" ht="4.5" hidden="false" customHeight="true" outlineLevel="0" collapsed="false">
      <c r="A46" s="23"/>
      <c r="B46" s="23"/>
      <c r="C46" s="23"/>
      <c r="D46" s="23"/>
      <c r="E46" s="23"/>
      <c r="F46" s="23"/>
      <c r="G46" s="23"/>
      <c r="H46" s="23"/>
    </row>
    <row r="47" customFormat="false" ht="15.75" hidden="false" customHeight="true" outlineLevel="0" collapsed="false">
      <c r="A47" s="24" t="s">
        <v>60</v>
      </c>
      <c r="B47" s="23"/>
      <c r="C47" s="38"/>
      <c r="D47" s="30" t="n">
        <f aca="false">IFERROR(D6/C6-1,0)</f>
        <v>0.063947539763743</v>
      </c>
      <c r="E47" s="30" t="n">
        <f aca="false">IFERROR(E6/D6-1,0)</f>
        <v>0.0285658084539058</v>
      </c>
      <c r="F47" s="30" t="n">
        <f aca="false">IFERROR(F6/E6-1,0)</f>
        <v>0.0186991351649985</v>
      </c>
      <c r="G47" s="30" t="n">
        <f aca="false">IFERROR(G6/F6-1,0)</f>
        <v>0.05</v>
      </c>
      <c r="H47" s="30" t="n">
        <f aca="false">IFERROR(H6/G6-1,0)</f>
        <v>0.05</v>
      </c>
    </row>
    <row r="48" customFormat="false" ht="15.75" hidden="false" customHeight="true" outlineLevel="0" collapsed="false">
      <c r="A48" s="24" t="s">
        <v>61</v>
      </c>
      <c r="B48" s="23"/>
      <c r="C48" s="38"/>
      <c r="D48" s="30" t="n">
        <f aca="false">IFERROR(D20/C20-1,0)</f>
        <v>0.0368503070858923</v>
      </c>
      <c r="E48" s="30" t="n">
        <f aca="false">IFERROR(E20/D20-1,0)</f>
        <v>-0.116612147467068</v>
      </c>
      <c r="F48" s="30" t="n">
        <f aca="false">IFERROR(F20/E20-1,0)</f>
        <v>0.377301841473179</v>
      </c>
      <c r="G48" s="30" t="n">
        <f aca="false">IFERROR(G20/F20-1,0)</f>
        <v>0.133904628687691</v>
      </c>
      <c r="H48" s="30" t="n">
        <f aca="false">IFERROR(H20/G20-1,0)</f>
        <v>0.05</v>
      </c>
    </row>
    <row r="49" customFormat="false" ht="15.75" hidden="false" customHeight="true" outlineLevel="0" collapsed="false">
      <c r="A49" s="24" t="s">
        <v>62</v>
      </c>
      <c r="B49" s="23"/>
      <c r="C49" s="38"/>
      <c r="D49" s="30" t="n">
        <f aca="false">IFERROR(D36/C36-1,0)</f>
        <v>0.102518443144238</v>
      </c>
      <c r="E49" s="30" t="n">
        <f aca="false">IFERROR(E36/D36-1,0)</f>
        <v>-0.00946008306414403</v>
      </c>
      <c r="F49" s="30" t="n">
        <f aca="false">IFERROR(F36/E36-1,0)</f>
        <v>0.316212438853948</v>
      </c>
      <c r="G49" s="30" t="n">
        <f aca="false">IFERROR(G36/F36-1,0)</f>
        <v>0.170112505309265</v>
      </c>
      <c r="H49" s="30" t="n">
        <f aca="false">IFERROR(H36/G36-1,0)</f>
        <v>0.0513353916280792</v>
      </c>
    </row>
    <row r="50" customFormat="false" ht="12" hidden="false" customHeight="true" outlineLevel="0" collapsed="false">
      <c r="A50" s="23"/>
      <c r="B50" s="23"/>
      <c r="C50" s="23"/>
      <c r="D50" s="23"/>
      <c r="E50" s="23"/>
      <c r="F50" s="23"/>
      <c r="G50" s="23"/>
      <c r="H50" s="23"/>
    </row>
    <row r="51" customFormat="false" ht="15" hidden="false" customHeight="true" outlineLevel="0" collapsed="false">
      <c r="A51" s="22" t="s">
        <v>63</v>
      </c>
      <c r="B51" s="22"/>
      <c r="C51" s="22"/>
      <c r="D51" s="22"/>
      <c r="E51" s="22"/>
      <c r="F51" s="22"/>
      <c r="G51" s="22"/>
      <c r="H51" s="22"/>
    </row>
    <row r="52" customFormat="false" ht="4.5" hidden="false" customHeight="true" outlineLevel="0" collapsed="false">
      <c r="A52" s="23"/>
      <c r="B52" s="23"/>
      <c r="C52" s="23"/>
      <c r="D52" s="23"/>
      <c r="E52" s="23"/>
      <c r="F52" s="23"/>
      <c r="G52" s="23"/>
      <c r="H52" s="23"/>
    </row>
    <row r="53" customFormat="false" ht="15.75" hidden="false" customHeight="true" outlineLevel="0" collapsed="false">
      <c r="A53" s="24" t="s">
        <v>64</v>
      </c>
      <c r="B53" s="23"/>
      <c r="C53" s="33" t="n">
        <v>9920</v>
      </c>
      <c r="D53" s="26" t="n">
        <f aca="false">C102</f>
        <v>9841</v>
      </c>
      <c r="E53" s="26" t="n">
        <f aca="false">D102</f>
        <v>9236</v>
      </c>
      <c r="F53" s="26" t="n">
        <f aca="false">E102</f>
        <v>10303</v>
      </c>
      <c r="G53" s="26" t="n">
        <f aca="false">F102</f>
        <v>9613</v>
      </c>
      <c r="H53" s="26" t="n">
        <f aca="false">G58</f>
        <v>10770.4442</v>
      </c>
    </row>
    <row r="54" customFormat="false" ht="15.75" hidden="false" customHeight="true" outlineLevel="0" collapsed="false">
      <c r="A54" s="24" t="s">
        <v>65</v>
      </c>
      <c r="B54" s="23"/>
      <c r="C54" s="25" t="n">
        <v>1484</v>
      </c>
      <c r="D54" s="25" t="n">
        <v>1852</v>
      </c>
      <c r="E54" s="25" t="n">
        <v>2064</v>
      </c>
      <c r="F54" s="25" t="n">
        <v>2112</v>
      </c>
      <c r="G54" s="26" t="n">
        <f aca="false">G6*Assumptions!B13</f>
        <v>2214.8742</v>
      </c>
      <c r="H54" s="26" t="n">
        <f aca="false">H6*Assumptions!B13</f>
        <v>2325.61791</v>
      </c>
    </row>
    <row r="55" customFormat="false" ht="15.75" hidden="false" customHeight="true" outlineLevel="0" collapsed="false">
      <c r="A55" s="24" t="s">
        <v>66</v>
      </c>
      <c r="B55" s="23"/>
      <c r="C55" s="33" t="n">
        <v>-1260</v>
      </c>
      <c r="D55" s="33" t="n">
        <v>-1128</v>
      </c>
      <c r="E55" s="33" t="n">
        <v>-1075</v>
      </c>
      <c r="F55" s="33" t="n">
        <v>-1050</v>
      </c>
      <c r="G55" s="26" t="n">
        <f aca="false">-(G53*Assumptions!B14)</f>
        <v>-1057.43</v>
      </c>
      <c r="H55" s="26" t="n">
        <f aca="false">-(H53*Assumptions!B14)</f>
        <v>-1184.748862</v>
      </c>
    </row>
    <row r="56" customFormat="false" ht="15.75" hidden="false" customHeight="true" outlineLevel="0" collapsed="false">
      <c r="A56" s="24" t="s">
        <v>67</v>
      </c>
      <c r="B56" s="23"/>
      <c r="C56" s="26"/>
      <c r="D56" s="26"/>
      <c r="E56" s="26"/>
      <c r="F56" s="26"/>
      <c r="G56" s="26"/>
      <c r="H56" s="26"/>
    </row>
    <row r="57" customFormat="false" ht="4.5" hidden="false" customHeight="true" outlineLevel="0" collapsed="false">
      <c r="A57" s="23"/>
      <c r="B57" s="23"/>
      <c r="C57" s="23"/>
      <c r="D57" s="23"/>
      <c r="E57" s="23"/>
      <c r="F57" s="23"/>
      <c r="G57" s="23"/>
      <c r="H57" s="23"/>
    </row>
    <row r="58" customFormat="false" ht="16.5" hidden="false" customHeight="true" outlineLevel="0" collapsed="false">
      <c r="A58" s="27" t="s">
        <v>68</v>
      </c>
      <c r="B58" s="28"/>
      <c r="C58" s="29" t="n">
        <f aca="false">C53+C54+C55</f>
        <v>10144</v>
      </c>
      <c r="D58" s="29" t="n">
        <f aca="false">D53+D54+D55</f>
        <v>10565</v>
      </c>
      <c r="E58" s="29" t="n">
        <f aca="false">E53+E54+E55</f>
        <v>10225</v>
      </c>
      <c r="F58" s="29" t="n">
        <f aca="false">F53+F54+F55</f>
        <v>11365</v>
      </c>
      <c r="G58" s="29" t="n">
        <f aca="false">G53+G54+G55</f>
        <v>10770.4442</v>
      </c>
      <c r="H58" s="29" t="n">
        <f aca="false">H53+H54+H55</f>
        <v>11911.313248</v>
      </c>
    </row>
    <row r="59" customFormat="false" ht="15.75" hidden="false" customHeight="true" outlineLevel="0" collapsed="false">
      <c r="A59" s="24" t="s">
        <v>69</v>
      </c>
      <c r="B59" s="23"/>
      <c r="C59" s="30" t="n">
        <f aca="false">C54/C6</f>
        <v>0.034508417821598</v>
      </c>
      <c r="D59" s="30" t="n">
        <f aca="false">D54/D6</f>
        <v>0.0404773353149451</v>
      </c>
      <c r="E59" s="30" t="n">
        <f aca="false">E54/E6</f>
        <v>0.0438579715688149</v>
      </c>
      <c r="F59" s="30" t="n">
        <f aca="false">F54/F6</f>
        <v>0.0440541498925763</v>
      </c>
      <c r="G59" s="30" t="n">
        <f aca="false">G54/G6</f>
        <v>0.044</v>
      </c>
      <c r="H59" s="30" t="n">
        <f aca="false">H54/H6</f>
        <v>0.044</v>
      </c>
    </row>
    <row r="60" customFormat="false" ht="12" hidden="false" customHeight="true" outlineLevel="0" collapsed="false">
      <c r="A60" s="23"/>
      <c r="B60" s="23"/>
      <c r="C60" s="23"/>
      <c r="D60" s="23"/>
      <c r="E60" s="23"/>
      <c r="F60" s="23"/>
      <c r="G60" s="23"/>
      <c r="H60" s="23"/>
    </row>
    <row r="61" customFormat="false" ht="15" hidden="false" customHeight="true" outlineLevel="0" collapsed="false">
      <c r="A61" s="22" t="s">
        <v>70</v>
      </c>
      <c r="B61" s="22"/>
      <c r="C61" s="22"/>
      <c r="D61" s="22"/>
      <c r="E61" s="22"/>
      <c r="F61" s="22"/>
      <c r="G61" s="22"/>
      <c r="H61" s="22"/>
    </row>
    <row r="62" customFormat="false" ht="4.5" hidden="false" customHeight="true" outlineLevel="0" collapsed="false">
      <c r="A62" s="23"/>
      <c r="B62" s="23"/>
      <c r="C62" s="23"/>
      <c r="D62" s="23"/>
      <c r="E62" s="23"/>
      <c r="F62" s="23"/>
      <c r="G62" s="23"/>
      <c r="H62" s="23"/>
    </row>
    <row r="63" customFormat="false" ht="15.75" hidden="false" customHeight="true" outlineLevel="0" collapsed="false">
      <c r="A63" s="24" t="s">
        <v>71</v>
      </c>
      <c r="B63" s="23"/>
      <c r="C63" s="25" t="n">
        <v>42761</v>
      </c>
      <c r="D63" s="26" t="n">
        <f aca="false">C117</f>
        <v>36377</v>
      </c>
      <c r="E63" s="26" t="n">
        <f aca="false">D117</f>
        <v>35547</v>
      </c>
      <c r="F63" s="26" t="n">
        <f aca="false">E117</f>
        <v>42375</v>
      </c>
      <c r="G63" s="26" t="n">
        <f aca="false">F117</f>
        <v>42119</v>
      </c>
      <c r="H63" s="26" t="n">
        <f aca="false">G66</f>
        <v>37119</v>
      </c>
    </row>
    <row r="64" customFormat="false" ht="15.75" hidden="false" customHeight="true" outlineLevel="0" collapsed="false">
      <c r="A64" s="24" t="s">
        <v>72</v>
      </c>
      <c r="B64" s="23"/>
      <c r="C64" s="25" t="n">
        <v>3972</v>
      </c>
      <c r="D64" s="25" t="n">
        <v>6891</v>
      </c>
      <c r="E64" s="25" t="n">
        <v>12061</v>
      </c>
      <c r="F64" s="25" t="n">
        <v>4980</v>
      </c>
      <c r="G64" s="26" t="n">
        <v>0</v>
      </c>
      <c r="H64" s="26" t="n">
        <v>0</v>
      </c>
    </row>
    <row r="65" customFormat="false" ht="15.75" hidden="false" customHeight="true" outlineLevel="0" collapsed="false">
      <c r="A65" s="24" t="s">
        <v>73</v>
      </c>
      <c r="B65" s="23"/>
      <c r="C65" s="25" t="n">
        <v>-4930</v>
      </c>
      <c r="D65" s="25" t="n">
        <v>-5034</v>
      </c>
      <c r="E65" s="25" t="n">
        <v>-9533</v>
      </c>
      <c r="F65" s="25" t="n">
        <v>-4967</v>
      </c>
      <c r="G65" s="26" t="n">
        <f aca="false">-Assumptions!B20</f>
        <v>-5000</v>
      </c>
      <c r="H65" s="26" t="n">
        <f aca="false">-Assumptions!B20</f>
        <v>-5000</v>
      </c>
    </row>
    <row r="66" customFormat="false" ht="16.5" hidden="false" customHeight="true" outlineLevel="0" collapsed="false">
      <c r="A66" s="27" t="s">
        <v>74</v>
      </c>
      <c r="B66" s="28"/>
      <c r="C66" s="29" t="n">
        <f aca="false">C63+C64+C65</f>
        <v>41803</v>
      </c>
      <c r="D66" s="29" t="n">
        <f aca="false">D63+D64+D65</f>
        <v>38234</v>
      </c>
      <c r="E66" s="29" t="n">
        <f aca="false">E63+E64+E65</f>
        <v>38075</v>
      </c>
      <c r="F66" s="29" t="n">
        <f aca="false">F63+F64+F65</f>
        <v>42388</v>
      </c>
      <c r="G66" s="29" t="n">
        <f aca="false">G63+G64+G65</f>
        <v>37119</v>
      </c>
      <c r="H66" s="29" t="n">
        <f aca="false">H63+H64+H65</f>
        <v>32119</v>
      </c>
    </row>
    <row r="67" customFormat="false" ht="4.5" hidden="false" customHeight="true" outlineLevel="0" collapsed="false">
      <c r="A67" s="23"/>
      <c r="B67" s="23"/>
      <c r="C67" s="23"/>
      <c r="D67" s="23"/>
      <c r="E67" s="23"/>
      <c r="F67" s="23"/>
      <c r="G67" s="23"/>
      <c r="H67" s="23"/>
    </row>
    <row r="68" customFormat="false" ht="15.75" hidden="false" customHeight="true" outlineLevel="0" collapsed="false">
      <c r="A68" s="24" t="s">
        <v>75</v>
      </c>
      <c r="B68" s="23"/>
      <c r="C68" s="26" t="n">
        <f aca="false">(C63+C66)/2</f>
        <v>42282</v>
      </c>
      <c r="D68" s="26" t="n">
        <f aca="false">(D63+D66)/2</f>
        <v>37305.5</v>
      </c>
      <c r="E68" s="26" t="n">
        <f aca="false">(E63+E66)/2</f>
        <v>36811</v>
      </c>
      <c r="F68" s="26" t="n">
        <f aca="false">(F63+F66)/2</f>
        <v>42381.5</v>
      </c>
      <c r="G68" s="26" t="n">
        <f aca="false">(G63+G66)/2</f>
        <v>39619</v>
      </c>
      <c r="H68" s="26" t="n">
        <f aca="false">(H63+H66)/2</f>
        <v>34619</v>
      </c>
    </row>
    <row r="69" customFormat="false" ht="15.75" hidden="false" customHeight="true" outlineLevel="0" collapsed="false">
      <c r="A69" s="24" t="s">
        <v>76</v>
      </c>
      <c r="B69" s="23"/>
      <c r="C69" s="26" t="n">
        <f aca="false">-(C68*Assumptions!B21)</f>
        <v>-1522.152</v>
      </c>
      <c r="D69" s="26" t="n">
        <f aca="false">-(D68*Assumptions!B21)</f>
        <v>-1342.998</v>
      </c>
      <c r="E69" s="26" t="n">
        <f aca="false">-(E68*Assumptions!B21)</f>
        <v>-1325.196</v>
      </c>
      <c r="F69" s="26" t="n">
        <f aca="false">-(F68*Assumptions!B21)</f>
        <v>-1525.734</v>
      </c>
      <c r="G69" s="26" t="n">
        <f aca="false">-(G68*Assumptions!B21)</f>
        <v>-1426.284</v>
      </c>
      <c r="H69" s="26" t="n">
        <f aca="false">-(H68*Assumptions!B21)</f>
        <v>-1246.284</v>
      </c>
    </row>
    <row r="70" customFormat="false" ht="12" hidden="false" customHeight="true" outlineLevel="0" collapsed="false">
      <c r="A70" s="23"/>
      <c r="B70" s="23"/>
      <c r="C70" s="23"/>
      <c r="D70" s="23"/>
      <c r="E70" s="23"/>
      <c r="F70" s="23"/>
      <c r="G70" s="23"/>
      <c r="H70" s="23"/>
    </row>
    <row r="71" customFormat="false" ht="15" hidden="false" customHeight="true" outlineLevel="0" collapsed="false">
      <c r="A71" s="22" t="s">
        <v>77</v>
      </c>
      <c r="B71" s="22"/>
      <c r="C71" s="22"/>
      <c r="D71" s="22"/>
      <c r="E71" s="22"/>
      <c r="F71" s="22"/>
      <c r="G71" s="22"/>
      <c r="H71" s="22"/>
    </row>
    <row r="72" customFormat="false" ht="4.5" hidden="false" customHeight="true" outlineLevel="0" collapsed="false">
      <c r="A72" s="23"/>
      <c r="B72" s="23"/>
      <c r="C72" s="23"/>
      <c r="D72" s="23"/>
      <c r="E72" s="23"/>
      <c r="F72" s="23"/>
      <c r="G72" s="23"/>
      <c r="H72" s="23"/>
    </row>
    <row r="73" customFormat="false" ht="15.75" hidden="false" customHeight="true" outlineLevel="0" collapsed="false">
      <c r="A73" s="24" t="s">
        <v>78</v>
      </c>
      <c r="B73" s="23"/>
      <c r="C73" s="26" t="n">
        <f aca="false">C6*Assumptions!B16/365</f>
        <v>4123.67123287671</v>
      </c>
      <c r="D73" s="26" t="n">
        <f aca="false">D6*Assumptions!B16/365</f>
        <v>4387.3698630137</v>
      </c>
      <c r="E73" s="26" t="n">
        <f aca="false">E6*Assumptions!B16/365</f>
        <v>4512.69863013699</v>
      </c>
      <c r="F73" s="26" t="n">
        <f aca="false">F6*Assumptions!B16/365</f>
        <v>4597.08219178082</v>
      </c>
      <c r="G73" s="26" t="n">
        <f aca="false">G6*Assumptions!B16/365</f>
        <v>4826.93630136986</v>
      </c>
      <c r="H73" s="26" t="n">
        <f aca="false">H6*Assumptions!B16/365</f>
        <v>5068.28311643836</v>
      </c>
    </row>
    <row r="74" customFormat="false" ht="15.75" hidden="false" customHeight="true" outlineLevel="0" collapsed="false">
      <c r="A74" s="24" t="s">
        <v>79</v>
      </c>
      <c r="B74" s="23"/>
      <c r="C74" s="26" t="n">
        <f aca="false">ABS(C8)*Assumptions!B17/365</f>
        <v>1824.65753424658</v>
      </c>
      <c r="D74" s="26" t="n">
        <f aca="false">ABS(D8)*Assumptions!B17/365</f>
        <v>1877.3698630137</v>
      </c>
      <c r="E74" s="26" t="n">
        <f aca="false">ABS(E8)*Assumptions!B17/365</f>
        <v>1857.50136986301</v>
      </c>
      <c r="F74" s="26" t="n">
        <f aca="false">ABS(F8)*Assumptions!B17/365</f>
        <v>1864.90136986301</v>
      </c>
      <c r="G74" s="26" t="n">
        <f aca="false">ABS(G8)*Assumptions!B17/365</f>
        <v>1964.56307465753</v>
      </c>
      <c r="H74" s="26" t="n">
        <f aca="false">ABS(H8)*Assumptions!B17/365</f>
        <v>2062.79122839041</v>
      </c>
    </row>
    <row r="75" customFormat="false" ht="15.75" hidden="false" customHeight="true" outlineLevel="0" collapsed="false">
      <c r="A75" s="24" t="s">
        <v>80</v>
      </c>
      <c r="B75" s="23"/>
      <c r="C75" s="26" t="n">
        <f aca="false">ABS(C8)*Assumptions!B18/365</f>
        <v>14794.5205479452</v>
      </c>
      <c r="D75" s="26" t="n">
        <f aca="false">ABS(D8)*Assumptions!B18/365</f>
        <v>15221.9178082192</v>
      </c>
      <c r="E75" s="26" t="n">
        <f aca="false">ABS(E8)*Assumptions!B18/365</f>
        <v>15060.8219178082</v>
      </c>
      <c r="F75" s="26" t="n">
        <f aca="false">ABS(F8)*Assumptions!B18/365</f>
        <v>15120.8219178082</v>
      </c>
      <c r="G75" s="26" t="n">
        <f aca="false">ABS(G8)*Assumptions!B18/365</f>
        <v>15928.8897945205</v>
      </c>
      <c r="H75" s="26" t="n">
        <f aca="false">ABS(H8)*Assumptions!B18/365</f>
        <v>16725.3342842466</v>
      </c>
    </row>
    <row r="76" customFormat="false" ht="16.5" hidden="false" customHeight="true" outlineLevel="0" collapsed="false">
      <c r="A76" s="27" t="s">
        <v>81</v>
      </c>
      <c r="B76" s="28"/>
      <c r="C76" s="29" t="n">
        <f aca="false">C73+C74-C75</f>
        <v>-8846.19178082192</v>
      </c>
      <c r="D76" s="29" t="n">
        <f aca="false">D73+D74-D75</f>
        <v>-8957.17808219178</v>
      </c>
      <c r="E76" s="29" t="n">
        <f aca="false">E73+E74-E75</f>
        <v>-8690.62191780822</v>
      </c>
      <c r="F76" s="29" t="n">
        <f aca="false">F73+F74-F75</f>
        <v>-8658.83835616438</v>
      </c>
      <c r="G76" s="29" t="n">
        <f aca="false">G73+G74-G75</f>
        <v>-9137.39041849315</v>
      </c>
      <c r="H76" s="29" t="n">
        <f aca="false">H73+H74-H75</f>
        <v>-9594.25993941781</v>
      </c>
    </row>
    <row r="77" customFormat="false" ht="4.5" hidden="false" customHeight="true" outlineLevel="0" collapsed="false">
      <c r="A77" s="23"/>
      <c r="B77" s="23"/>
      <c r="C77" s="23"/>
      <c r="D77" s="23"/>
      <c r="E77" s="23"/>
      <c r="F77" s="23"/>
      <c r="G77" s="23"/>
      <c r="H77" s="23"/>
    </row>
    <row r="78" customFormat="false" ht="15.75" hidden="false" customHeight="true" outlineLevel="0" collapsed="false">
      <c r="A78" s="24" t="s">
        <v>82</v>
      </c>
      <c r="B78" s="23"/>
      <c r="C78" s="39"/>
      <c r="D78" s="26" t="n">
        <f aca="false">-(D73-C96)</f>
        <v>-900.369863013699</v>
      </c>
      <c r="E78" s="26" t="n">
        <f aca="false">-(E73-D96)</f>
        <v>-1102.69863013699</v>
      </c>
      <c r="F78" s="26" t="n">
        <f aca="false">-(F73-E96)</f>
        <v>-1028.08219178082</v>
      </c>
      <c r="G78" s="26" t="n">
        <f aca="false">-(G73-F96)</f>
        <v>-1788.93630136986</v>
      </c>
      <c r="H78" s="26" t="n">
        <f aca="false">-(H73-G96)</f>
        <v>-241.346815068494</v>
      </c>
    </row>
    <row r="79" customFormat="false" ht="15.75" hidden="false" customHeight="true" outlineLevel="0" collapsed="false">
      <c r="A79" s="24" t="s">
        <v>83</v>
      </c>
      <c r="B79" s="23"/>
      <c r="C79" s="39"/>
      <c r="D79" s="26" t="n">
        <f aca="false">-(D74-C97)</f>
        <v>2355.6301369863</v>
      </c>
      <c r="E79" s="26" t="n">
        <f aca="false">-(E74-D97)</f>
        <v>2566.49863013699</v>
      </c>
      <c r="F79" s="26" t="n">
        <f aca="false">-(F74-E97)</f>
        <v>2863.09863013699</v>
      </c>
      <c r="G79" s="26" t="n">
        <f aca="false">-(G74-F97)</f>
        <v>2460.43692534247</v>
      </c>
      <c r="H79" s="26" t="n">
        <f aca="false">-(H74-G97)</f>
        <v>-98.2281537328772</v>
      </c>
    </row>
    <row r="80" customFormat="false" ht="15.75" hidden="false" customHeight="true" outlineLevel="0" collapsed="false">
      <c r="A80" s="24" t="s">
        <v>84</v>
      </c>
      <c r="B80" s="23"/>
      <c r="C80" s="39"/>
      <c r="D80" s="26" t="n">
        <f aca="false">(D75-C111)</f>
        <v>-527.082191780823</v>
      </c>
      <c r="E80" s="26" t="n">
        <f aca="false">(E75-D111)</f>
        <v>-424.17808219178</v>
      </c>
      <c r="F80" s="26" t="n">
        <f aca="false">(F75-E111)</f>
        <v>-6591.17808219178</v>
      </c>
      <c r="G80" s="26" t="n">
        <f aca="false">(G75-F111)</f>
        <v>1115.88979452055</v>
      </c>
      <c r="H80" s="26" t="n">
        <f aca="false">(H75-G111)</f>
        <v>796.444489726031</v>
      </c>
    </row>
    <row r="81" customFormat="false" ht="16.5" hidden="false" customHeight="true" outlineLevel="0" collapsed="false">
      <c r="A81" s="27" t="s">
        <v>85</v>
      </c>
      <c r="B81" s="28"/>
      <c r="C81" s="29" t="n">
        <f aca="false">IFERROR(C78+C79+C80,0)</f>
        <v>0</v>
      </c>
      <c r="D81" s="29" t="n">
        <f aca="false">IFERROR(D78+D79+D80,0)</f>
        <v>928.17808219178</v>
      </c>
      <c r="E81" s="29" t="n">
        <f aca="false">IFERROR(E78+E79+E80,0)</f>
        <v>1039.62191780822</v>
      </c>
      <c r="F81" s="29" t="n">
        <f aca="false">IFERROR(F78+F79+F80,0)</f>
        <v>-4756.16164383562</v>
      </c>
      <c r="G81" s="29" t="n">
        <f aca="false">IFERROR(G78+G79+G80,0)</f>
        <v>1787.39041849315</v>
      </c>
      <c r="H81" s="29" t="n">
        <f aca="false">IFERROR(H78+H79+H80,0)</f>
        <v>456.86952092466</v>
      </c>
    </row>
    <row r="82" customFormat="false" ht="15.75" hidden="false" customHeight="true" outlineLevel="0" collapsed="false">
      <c r="A82" s="24" t="s">
        <v>86</v>
      </c>
      <c r="B82" s="23"/>
      <c r="C82" s="40" t="n">
        <f aca="false">Assumptions!B16+Assumptions!B17-Assumptions!B18</f>
        <v>-228</v>
      </c>
      <c r="D82" s="40" t="n">
        <f aca="false">Assumptions!B16+Assumptions!B17-Assumptions!B18</f>
        <v>-228</v>
      </c>
      <c r="E82" s="40" t="n">
        <f aca="false">Assumptions!B16+Assumptions!B17-Assumptions!B18</f>
        <v>-228</v>
      </c>
      <c r="F82" s="40" t="n">
        <f aca="false">Assumptions!B16+Assumptions!B17-Assumptions!B18</f>
        <v>-228</v>
      </c>
      <c r="G82" s="40" t="n">
        <f aca="false">Assumptions!B16+Assumptions!B17-Assumptions!B18</f>
        <v>-228</v>
      </c>
      <c r="H82" s="40" t="n">
        <f aca="false">Assumptions!B16+Assumptions!B17-Assumptions!B18</f>
        <v>-228</v>
      </c>
    </row>
    <row r="83" customFormat="false" ht="12" hidden="false" customHeight="true" outlineLevel="0" collapsed="false">
      <c r="A83" s="23"/>
      <c r="B83" s="23"/>
      <c r="C83" s="23"/>
      <c r="D83" s="23"/>
      <c r="E83" s="23"/>
      <c r="F83" s="23"/>
      <c r="G83" s="23"/>
      <c r="H83" s="23"/>
    </row>
    <row r="84" customFormat="false" ht="15" hidden="false" customHeight="true" outlineLevel="0" collapsed="false">
      <c r="A84" s="22" t="s">
        <v>87</v>
      </c>
      <c r="B84" s="22"/>
      <c r="C84" s="22"/>
      <c r="D84" s="22"/>
      <c r="E84" s="22"/>
      <c r="F84" s="22"/>
      <c r="G84" s="22"/>
      <c r="H84" s="22"/>
    </row>
    <row r="85" customFormat="false" ht="4.5" hidden="false" customHeight="true" outlineLevel="0" collapsed="false">
      <c r="A85" s="23"/>
      <c r="B85" s="23"/>
      <c r="C85" s="23"/>
      <c r="D85" s="23"/>
      <c r="E85" s="23"/>
      <c r="F85" s="23"/>
      <c r="G85" s="23"/>
      <c r="H85" s="23"/>
    </row>
    <row r="86" customFormat="false" ht="15.75" hidden="false" customHeight="true" outlineLevel="0" collapsed="false">
      <c r="A86" s="24" t="s">
        <v>88</v>
      </c>
      <c r="B86" s="23"/>
      <c r="C86" s="33" t="n">
        <v>69094</v>
      </c>
      <c r="D86" s="26" t="n">
        <f aca="false">C90</f>
        <v>71019</v>
      </c>
      <c r="E86" s="26" t="n">
        <f aca="false">D90</f>
        <v>73782</v>
      </c>
      <c r="F86" s="26" t="n">
        <f aca="false">E90</f>
        <v>76054</v>
      </c>
      <c r="G86" s="26" t="n">
        <f aca="false">F90</f>
        <v>80382</v>
      </c>
      <c r="H86" s="26" t="n">
        <f aca="false">G90</f>
        <v>83687.860355625</v>
      </c>
    </row>
    <row r="87" customFormat="false" ht="15.75" hidden="false" customHeight="true" outlineLevel="0" collapsed="false">
      <c r="A87" s="24" t="s">
        <v>89</v>
      </c>
      <c r="B87" s="23"/>
      <c r="C87" s="26" t="n">
        <f aca="false">C36</f>
        <v>7862</v>
      </c>
      <c r="D87" s="26" t="n">
        <f aca="false">D36</f>
        <v>8668</v>
      </c>
      <c r="E87" s="26" t="n">
        <f aca="false">E36</f>
        <v>8586</v>
      </c>
      <c r="F87" s="26" t="n">
        <f aca="false">F36</f>
        <v>11301</v>
      </c>
      <c r="G87" s="26" t="n">
        <f aca="false">G36</f>
        <v>13223.4414225</v>
      </c>
      <c r="H87" s="26" t="n">
        <f aca="false">H36</f>
        <v>13902.271966595</v>
      </c>
    </row>
    <row r="88" customFormat="false" ht="15.75" hidden="false" customHeight="true" outlineLevel="0" collapsed="false">
      <c r="A88" s="24" t="s">
        <v>90</v>
      </c>
      <c r="B88" s="23"/>
      <c r="C88" s="33" t="n">
        <v>-7616</v>
      </c>
      <c r="D88" s="33" t="n">
        <v>-7990</v>
      </c>
      <c r="E88" s="33" t="n">
        <v>-8333</v>
      </c>
      <c r="F88" s="33" t="n">
        <v>-8718</v>
      </c>
      <c r="G88" s="26" t="n">
        <f aca="false">-(G43*G41)</f>
        <v>-9917.581066875</v>
      </c>
      <c r="H88" s="26" t="n">
        <f aca="false">-(H43*H41)</f>
        <v>-10426.7039749463</v>
      </c>
    </row>
    <row r="89" customFormat="false" ht="15.75" hidden="false" customHeight="true" outlineLevel="0" collapsed="false">
      <c r="A89" s="24" t="s">
        <v>91</v>
      </c>
      <c r="B89" s="23"/>
      <c r="C89" s="26" t="n">
        <v>0</v>
      </c>
      <c r="D89" s="26" t="n">
        <v>0</v>
      </c>
      <c r="E89" s="26" t="n">
        <v>0</v>
      </c>
      <c r="F89" s="26" t="n">
        <v>0</v>
      </c>
      <c r="G89" s="26" t="n">
        <v>0</v>
      </c>
      <c r="H89" s="26" t="n">
        <v>0</v>
      </c>
    </row>
    <row r="90" customFormat="false" ht="16.5" hidden="false" customHeight="true" outlineLevel="0" collapsed="false">
      <c r="A90" s="27" t="s">
        <v>92</v>
      </c>
      <c r="B90" s="28"/>
      <c r="C90" s="41" t="n">
        <v>71019</v>
      </c>
      <c r="D90" s="41" t="n">
        <v>73782</v>
      </c>
      <c r="E90" s="41" t="n">
        <v>76054</v>
      </c>
      <c r="F90" s="41" t="n">
        <v>80382</v>
      </c>
      <c r="G90" s="29" t="n">
        <f aca="false">G86+G87+G88+G89</f>
        <v>83687.860355625</v>
      </c>
      <c r="H90" s="29" t="n">
        <f aca="false">H86+H87+H88+H89</f>
        <v>87163.4283472737</v>
      </c>
    </row>
    <row r="91" customFormat="false" ht="12" hidden="false" customHeight="true" outlineLevel="0" collapsed="false">
      <c r="A91" s="23"/>
      <c r="B91" s="23"/>
      <c r="C91" s="23"/>
      <c r="D91" s="23"/>
      <c r="E91" s="23"/>
      <c r="F91" s="23"/>
      <c r="G91" s="23"/>
      <c r="H91" s="23"/>
    </row>
    <row r="92" customFormat="false" ht="15" hidden="false" customHeight="true" outlineLevel="0" collapsed="false">
      <c r="A92" s="22" t="s">
        <v>93</v>
      </c>
      <c r="B92" s="22"/>
      <c r="C92" s="22"/>
      <c r="D92" s="22"/>
      <c r="E92" s="22"/>
      <c r="F92" s="22"/>
      <c r="G92" s="22"/>
      <c r="H92" s="22"/>
    </row>
    <row r="93" customFormat="false" ht="4.5" hidden="false" customHeight="true" outlineLevel="0" collapsed="false">
      <c r="A93" s="23"/>
      <c r="B93" s="23"/>
      <c r="C93" s="23"/>
      <c r="D93" s="23"/>
      <c r="E93" s="23"/>
      <c r="F93" s="23"/>
      <c r="G93" s="23"/>
      <c r="H93" s="23"/>
    </row>
    <row r="94" customFormat="false" ht="15" hidden="false" customHeight="true" outlineLevel="0" collapsed="false">
      <c r="A94" s="22" t="s">
        <v>94</v>
      </c>
      <c r="B94" s="22"/>
      <c r="C94" s="22"/>
      <c r="D94" s="22"/>
      <c r="E94" s="22"/>
      <c r="F94" s="22"/>
      <c r="G94" s="22"/>
      <c r="H94" s="22"/>
    </row>
    <row r="95" customFormat="false" ht="15.75" hidden="false" customHeight="true" outlineLevel="0" collapsed="false">
      <c r="A95" s="24" t="s">
        <v>95</v>
      </c>
      <c r="B95" s="23"/>
      <c r="C95" s="33" t="n">
        <v>11631</v>
      </c>
      <c r="D95" s="33" t="n">
        <v>13663</v>
      </c>
      <c r="E95" s="33" t="n">
        <v>14571</v>
      </c>
      <c r="F95" s="33" t="n">
        <v>15806</v>
      </c>
      <c r="G95" s="26" t="n">
        <f aca="false">G160</f>
        <v>0</v>
      </c>
      <c r="H95" s="26" t="n">
        <f aca="false">H160</f>
        <v>-2208.43153542659</v>
      </c>
    </row>
    <row r="96" customFormat="false" ht="15.75" hidden="false" customHeight="true" outlineLevel="0" collapsed="false">
      <c r="A96" s="24" t="s">
        <v>96</v>
      </c>
      <c r="B96" s="23"/>
      <c r="C96" s="33" t="n">
        <v>3487</v>
      </c>
      <c r="D96" s="33" t="n">
        <v>3410</v>
      </c>
      <c r="E96" s="33" t="n">
        <v>3569</v>
      </c>
      <c r="F96" s="33" t="n">
        <v>3038</v>
      </c>
      <c r="G96" s="26" t="n">
        <f aca="false">G73</f>
        <v>4826.93630136986</v>
      </c>
      <c r="H96" s="26" t="n">
        <f aca="false">H73</f>
        <v>5068.28311643836</v>
      </c>
    </row>
    <row r="97" customFormat="false" ht="15.75" hidden="false" customHeight="true" outlineLevel="0" collapsed="false">
      <c r="A97" s="24" t="s">
        <v>97</v>
      </c>
      <c r="B97" s="23"/>
      <c r="C97" s="33" t="n">
        <v>4233</v>
      </c>
      <c r="D97" s="33" t="n">
        <v>4424</v>
      </c>
      <c r="E97" s="33" t="n">
        <v>4728</v>
      </c>
      <c r="F97" s="33" t="n">
        <v>4425</v>
      </c>
      <c r="G97" s="26" t="n">
        <f aca="false">G74</f>
        <v>1964.56307465753</v>
      </c>
      <c r="H97" s="26" t="n">
        <f aca="false">H74</f>
        <v>2062.79122839041</v>
      </c>
    </row>
    <row r="98" customFormat="false" ht="15.75" hidden="false" customHeight="true" outlineLevel="0" collapsed="false">
      <c r="A98" s="24" t="s">
        <v>98</v>
      </c>
      <c r="B98" s="23"/>
      <c r="C98" s="25" t="n">
        <v>3240</v>
      </c>
      <c r="D98" s="25" t="n">
        <v>5235</v>
      </c>
      <c r="E98" s="25" t="n">
        <v>3129</v>
      </c>
      <c r="F98" s="25" t="n">
        <v>7775</v>
      </c>
      <c r="G98" s="26" t="n">
        <f aca="false">F98</f>
        <v>7775</v>
      </c>
      <c r="H98" s="26" t="n">
        <f aca="false">G98</f>
        <v>7775</v>
      </c>
    </row>
    <row r="99" customFormat="false" ht="16.5" hidden="false" customHeight="true" outlineLevel="0" collapsed="false">
      <c r="A99" s="27" t="s">
        <v>99</v>
      </c>
      <c r="B99" s="28"/>
      <c r="C99" s="29" t="n">
        <f aca="false">C95+C96+C97+C98</f>
        <v>22591</v>
      </c>
      <c r="D99" s="29" t="n">
        <f aca="false">D95+D96+D97+D98</f>
        <v>26732</v>
      </c>
      <c r="E99" s="29" t="n">
        <f aca="false">E95+E96+E97+E98</f>
        <v>25997</v>
      </c>
      <c r="F99" s="29" t="n">
        <f aca="false">F95+F96+F97+F98</f>
        <v>31044</v>
      </c>
      <c r="G99" s="29" t="n">
        <f aca="false">G95+G96+G97+G98</f>
        <v>14566.4993760274</v>
      </c>
      <c r="H99" s="29" t="n">
        <f aca="false">H95+H96+H97+H98</f>
        <v>12697.6428094022</v>
      </c>
    </row>
    <row r="100" customFormat="false" ht="4.5" hidden="false" customHeight="true" outlineLevel="0" collapsed="false">
      <c r="A100" s="23"/>
      <c r="B100" s="23"/>
      <c r="C100" s="23"/>
      <c r="D100" s="23"/>
      <c r="E100" s="23"/>
      <c r="F100" s="23"/>
      <c r="G100" s="23"/>
      <c r="H100" s="23"/>
    </row>
    <row r="101" customFormat="false" ht="15" hidden="false" customHeight="true" outlineLevel="0" collapsed="false">
      <c r="A101" s="22" t="s">
        <v>100</v>
      </c>
      <c r="B101" s="22"/>
      <c r="C101" s="22"/>
      <c r="D101" s="22"/>
      <c r="E101" s="22"/>
      <c r="F101" s="22"/>
      <c r="G101" s="22"/>
      <c r="H101" s="22"/>
    </row>
    <row r="102" customFormat="false" ht="15.75" hidden="false" customHeight="true" outlineLevel="0" collapsed="false">
      <c r="A102" s="24" t="s">
        <v>101</v>
      </c>
      <c r="B102" s="23"/>
      <c r="C102" s="33" t="n">
        <v>9841</v>
      </c>
      <c r="D102" s="33" t="n">
        <v>9236</v>
      </c>
      <c r="E102" s="33" t="n">
        <v>10303</v>
      </c>
      <c r="F102" s="33" t="n">
        <v>9613</v>
      </c>
      <c r="G102" s="26" t="n">
        <f aca="false">G58</f>
        <v>10770.4442</v>
      </c>
      <c r="H102" s="26" t="n">
        <f aca="false">H58</f>
        <v>11911.313248</v>
      </c>
    </row>
    <row r="103" customFormat="false" ht="15.75" hidden="false" customHeight="true" outlineLevel="0" collapsed="false">
      <c r="A103" s="24" t="s">
        <v>102</v>
      </c>
      <c r="B103" s="23"/>
      <c r="C103" s="25" t="n">
        <v>18782</v>
      </c>
      <c r="D103" s="25" t="n">
        <v>18358</v>
      </c>
      <c r="E103" s="25" t="n">
        <v>18139</v>
      </c>
      <c r="F103" s="25" t="n">
        <v>15491</v>
      </c>
      <c r="G103" s="26" t="n">
        <f aca="false">F103</f>
        <v>15491</v>
      </c>
      <c r="H103" s="26" t="n">
        <f aca="false">G103</f>
        <v>15491</v>
      </c>
    </row>
    <row r="104" customFormat="false" ht="15.75" hidden="false" customHeight="true" outlineLevel="0" collapsed="false">
      <c r="A104" s="24" t="s">
        <v>103</v>
      </c>
      <c r="B104" s="23"/>
      <c r="C104" s="25" t="n">
        <v>14849</v>
      </c>
      <c r="D104" s="25" t="n">
        <v>14349</v>
      </c>
      <c r="E104" s="25" t="n">
        <v>13301</v>
      </c>
      <c r="F104" s="25" t="n">
        <v>12531</v>
      </c>
      <c r="G104" s="26" t="n">
        <f aca="false">F104</f>
        <v>12531</v>
      </c>
      <c r="H104" s="26" t="n">
        <f aca="false">G104</f>
        <v>12531</v>
      </c>
    </row>
    <row r="105" customFormat="false" ht="15.75" hidden="false" customHeight="true" outlineLevel="0" collapsed="false">
      <c r="A105" s="24" t="s">
        <v>104</v>
      </c>
      <c r="B105" s="23"/>
      <c r="C105" s="25" t="n">
        <v>26700</v>
      </c>
      <c r="D105" s="25" t="n">
        <v>29028</v>
      </c>
      <c r="E105" s="25" t="n">
        <v>32809</v>
      </c>
      <c r="F105" s="25" t="n">
        <v>36137</v>
      </c>
      <c r="G105" s="26" t="n">
        <f aca="false">F105</f>
        <v>36137</v>
      </c>
      <c r="H105" s="26" t="n">
        <f aca="false">G105</f>
        <v>36137</v>
      </c>
    </row>
    <row r="106" customFormat="false" ht="16.5" hidden="false" customHeight="true" outlineLevel="0" collapsed="false">
      <c r="A106" s="27" t="s">
        <v>105</v>
      </c>
      <c r="B106" s="28"/>
      <c r="C106" s="29" t="n">
        <f aca="false">C102+C103+C104+C105</f>
        <v>70172</v>
      </c>
      <c r="D106" s="29" t="n">
        <f aca="false">D102+D103+D104+D105</f>
        <v>70971</v>
      </c>
      <c r="E106" s="29" t="n">
        <f aca="false">E102+E103+E104+E105</f>
        <v>74552</v>
      </c>
      <c r="F106" s="29" t="n">
        <f aca="false">F102+F103+F104+F105</f>
        <v>73772</v>
      </c>
      <c r="G106" s="29" t="n">
        <f aca="false">G102+G103+G104+G105</f>
        <v>74929.4442</v>
      </c>
      <c r="H106" s="29" t="n">
        <f aca="false">H102+H103+H104+H105</f>
        <v>76070.313248</v>
      </c>
    </row>
    <row r="107" customFormat="false" ht="4.5" hidden="false" customHeight="true" outlineLevel="0" collapsed="false">
      <c r="A107" s="23"/>
      <c r="B107" s="23"/>
      <c r="C107" s="23"/>
      <c r="D107" s="23"/>
      <c r="E107" s="23"/>
      <c r="F107" s="23"/>
      <c r="G107" s="23"/>
      <c r="H107" s="23"/>
    </row>
    <row r="108" customFormat="false" ht="16.5" hidden="false" customHeight="true" outlineLevel="0" collapsed="false">
      <c r="A108" s="27" t="s">
        <v>106</v>
      </c>
      <c r="B108" s="28"/>
      <c r="C108" s="29" t="n">
        <f aca="false">C99+C106</f>
        <v>92763</v>
      </c>
      <c r="D108" s="29" t="n">
        <f aca="false">D99+D106</f>
        <v>97703</v>
      </c>
      <c r="E108" s="29" t="n">
        <f aca="false">E99+E106</f>
        <v>100549</v>
      </c>
      <c r="F108" s="29" t="n">
        <f aca="false">F99+F106</f>
        <v>104816</v>
      </c>
      <c r="G108" s="29" t="n">
        <f aca="false">G99+G106</f>
        <v>89495.9435760274</v>
      </c>
      <c r="H108" s="29" t="n">
        <f aca="false">H99+H106</f>
        <v>88767.9560574022</v>
      </c>
    </row>
    <row r="109" customFormat="false" ht="4.5" hidden="false" customHeight="true" outlineLevel="0" collapsed="false">
      <c r="A109" s="23"/>
      <c r="B109" s="23"/>
      <c r="C109" s="23"/>
      <c r="D109" s="23"/>
      <c r="E109" s="23"/>
      <c r="F109" s="23"/>
      <c r="G109" s="23"/>
      <c r="H109" s="23"/>
    </row>
    <row r="110" customFormat="false" ht="15" hidden="false" customHeight="true" outlineLevel="0" collapsed="false">
      <c r="A110" s="22" t="s">
        <v>107</v>
      </c>
      <c r="B110" s="22"/>
      <c r="C110" s="22"/>
      <c r="D110" s="22"/>
      <c r="E110" s="22"/>
      <c r="F110" s="22"/>
      <c r="G110" s="22"/>
      <c r="H110" s="22"/>
    </row>
    <row r="111" customFormat="false" ht="15.75" hidden="false" customHeight="true" outlineLevel="0" collapsed="false">
      <c r="A111" s="24" t="s">
        <v>108</v>
      </c>
      <c r="B111" s="23"/>
      <c r="C111" s="33" t="n">
        <v>15749</v>
      </c>
      <c r="D111" s="33" t="n">
        <v>15485</v>
      </c>
      <c r="E111" s="33" t="n">
        <v>21712</v>
      </c>
      <c r="F111" s="33" t="n">
        <v>14813</v>
      </c>
      <c r="G111" s="26" t="n">
        <f aca="false">G75</f>
        <v>15928.8897945205</v>
      </c>
      <c r="H111" s="26" t="n">
        <f aca="false">H75</f>
        <v>16725.3342842466</v>
      </c>
    </row>
    <row r="112" customFormat="false" ht="15.75" hidden="false" customHeight="true" outlineLevel="0" collapsed="false">
      <c r="A112" s="24" t="s">
        <v>109</v>
      </c>
      <c r="B112" s="23"/>
      <c r="C112" s="25" t="n">
        <v>2772</v>
      </c>
      <c r="D112" s="25" t="n">
        <v>6517</v>
      </c>
      <c r="E112" s="25" t="n">
        <v>2147</v>
      </c>
      <c r="F112" s="25" t="n">
        <v>3373</v>
      </c>
      <c r="G112" s="26" t="n">
        <f aca="false">F112</f>
        <v>3373</v>
      </c>
      <c r="H112" s="26" t="n">
        <f aca="false">G112</f>
        <v>3373</v>
      </c>
    </row>
    <row r="113" customFormat="false" ht="15.75" hidden="false" customHeight="true" outlineLevel="0" collapsed="false">
      <c r="A113" s="24" t="s">
        <v>110</v>
      </c>
      <c r="B113" s="23"/>
      <c r="C113" s="25" t="n">
        <v>1203</v>
      </c>
      <c r="D113" s="25" t="n">
        <v>1569</v>
      </c>
      <c r="E113" s="25" t="n">
        <v>1390</v>
      </c>
      <c r="F113" s="25" t="n">
        <v>3095</v>
      </c>
      <c r="G113" s="26" t="n">
        <f aca="false">F113</f>
        <v>3095</v>
      </c>
      <c r="H113" s="26" t="n">
        <f aca="false">G113</f>
        <v>3095</v>
      </c>
    </row>
    <row r="114" customFormat="false" ht="16.5" hidden="false" customHeight="true" outlineLevel="0" collapsed="false">
      <c r="A114" s="27" t="s">
        <v>111</v>
      </c>
      <c r="B114" s="28"/>
      <c r="C114" s="29" t="n">
        <f aca="false">C111+C112+C113</f>
        <v>19724</v>
      </c>
      <c r="D114" s="29" t="n">
        <f aca="false">D111+D112+D113</f>
        <v>23571</v>
      </c>
      <c r="E114" s="29" t="n">
        <f aca="false">E111+E112+E113</f>
        <v>25249</v>
      </c>
      <c r="F114" s="29" t="n">
        <f aca="false">F111+F112+F113</f>
        <v>21281</v>
      </c>
      <c r="G114" s="29" t="n">
        <f aca="false">G111+G112+G113</f>
        <v>22396.8897945205</v>
      </c>
      <c r="H114" s="29" t="n">
        <f aca="false">H111+H112+H113</f>
        <v>23193.3342842466</v>
      </c>
    </row>
    <row r="115" customFormat="false" ht="4.5" hidden="false" customHeight="true" outlineLevel="0" collapsed="false">
      <c r="A115" s="23"/>
      <c r="B115" s="23"/>
      <c r="C115" s="23"/>
      <c r="D115" s="23"/>
      <c r="E115" s="23"/>
      <c r="F115" s="23"/>
      <c r="G115" s="23"/>
      <c r="H115" s="23"/>
    </row>
    <row r="116" customFormat="false" ht="15" hidden="false" customHeight="true" outlineLevel="0" collapsed="false">
      <c r="A116" s="22" t="s">
        <v>112</v>
      </c>
      <c r="B116" s="22"/>
      <c r="C116" s="22"/>
      <c r="D116" s="22"/>
      <c r="E116" s="22"/>
      <c r="F116" s="22"/>
      <c r="G116" s="22"/>
      <c r="H116" s="22"/>
    </row>
    <row r="117" customFormat="false" ht="15.75" hidden="false" customHeight="true" outlineLevel="0" collapsed="false">
      <c r="A117" s="24" t="s">
        <v>113</v>
      </c>
      <c r="B117" s="23"/>
      <c r="C117" s="33" t="n">
        <v>36377</v>
      </c>
      <c r="D117" s="33" t="n">
        <v>35547</v>
      </c>
      <c r="E117" s="33" t="n">
        <v>42375</v>
      </c>
      <c r="F117" s="33" t="n">
        <v>42119</v>
      </c>
      <c r="G117" s="26" t="n">
        <f aca="false">G66</f>
        <v>37119</v>
      </c>
      <c r="H117" s="26" t="n">
        <f aca="false">H66</f>
        <v>32119</v>
      </c>
    </row>
    <row r="118" customFormat="false" ht="15.75" hidden="false" customHeight="true" outlineLevel="0" collapsed="false">
      <c r="A118" s="24" t="s">
        <v>114</v>
      </c>
      <c r="B118" s="23"/>
      <c r="C118" s="25" t="n">
        <v>2336</v>
      </c>
      <c r="D118" s="25" t="n">
        <v>1765</v>
      </c>
      <c r="E118" s="25" t="n">
        <v>1661</v>
      </c>
      <c r="F118" s="25" t="n">
        <v>1664</v>
      </c>
      <c r="G118" s="26" t="n">
        <f aca="false">F118</f>
        <v>1664</v>
      </c>
      <c r="H118" s="26" t="n">
        <f aca="false">G118</f>
        <v>1664</v>
      </c>
    </row>
    <row r="119" customFormat="false" ht="15.75" hidden="false" customHeight="true" outlineLevel="0" collapsed="false">
      <c r="A119" s="24" t="s">
        <v>115</v>
      </c>
      <c r="B119" s="23"/>
      <c r="C119" s="25" t="n">
        <v>8500</v>
      </c>
      <c r="D119" s="25" t="n">
        <v>9340</v>
      </c>
      <c r="E119" s="25" t="n">
        <v>4892</v>
      </c>
      <c r="F119" s="25" t="n">
        <v>5477</v>
      </c>
      <c r="G119" s="26" t="n">
        <f aca="false">F119</f>
        <v>5477</v>
      </c>
      <c r="H119" s="26" t="n">
        <f aca="false">G119</f>
        <v>5477</v>
      </c>
    </row>
    <row r="120" customFormat="false" ht="16.5" hidden="false" customHeight="true" outlineLevel="0" collapsed="false">
      <c r="A120" s="27" t="s">
        <v>116</v>
      </c>
      <c r="B120" s="28"/>
      <c r="C120" s="29" t="n">
        <f aca="false">C117+C118+C119</f>
        <v>47213</v>
      </c>
      <c r="D120" s="29" t="n">
        <f aca="false">D117+D118+D119</f>
        <v>46652</v>
      </c>
      <c r="E120" s="29" t="n">
        <f aca="false">E117+E118+E119</f>
        <v>48928</v>
      </c>
      <c r="F120" s="29" t="n">
        <f aca="false">F117+F118+F119</f>
        <v>49260</v>
      </c>
      <c r="G120" s="29" t="n">
        <f aca="false">G117+G118+G119</f>
        <v>44260</v>
      </c>
      <c r="H120" s="29" t="n">
        <f aca="false">H117+H118+H119</f>
        <v>39260</v>
      </c>
    </row>
    <row r="121" customFormat="false" ht="4.5" hidden="false" customHeight="true" outlineLevel="0" collapsed="false">
      <c r="A121" s="23"/>
      <c r="B121" s="23"/>
      <c r="C121" s="23"/>
      <c r="D121" s="23"/>
      <c r="E121" s="23"/>
      <c r="F121" s="23"/>
      <c r="G121" s="23"/>
      <c r="H121" s="23"/>
    </row>
    <row r="122" customFormat="false" ht="16.5" hidden="false" customHeight="true" outlineLevel="0" collapsed="false">
      <c r="A122" s="27" t="s">
        <v>117</v>
      </c>
      <c r="B122" s="28"/>
      <c r="C122" s="29" t="n">
        <f aca="false">C114+C120</f>
        <v>66937</v>
      </c>
      <c r="D122" s="29" t="n">
        <f aca="false">D114+D120</f>
        <v>70223</v>
      </c>
      <c r="E122" s="29" t="n">
        <f aca="false">E114+E120</f>
        <v>74177</v>
      </c>
      <c r="F122" s="29" t="n">
        <f aca="false">F114+F120</f>
        <v>70541</v>
      </c>
      <c r="G122" s="29" t="n">
        <f aca="false">G114+G120</f>
        <v>66656.8897945205</v>
      </c>
      <c r="H122" s="29" t="n">
        <f aca="false">H114+H120</f>
        <v>62453.3342842466</v>
      </c>
    </row>
    <row r="123" customFormat="false" ht="4.5" hidden="false" customHeight="true" outlineLevel="0" collapsed="false">
      <c r="A123" s="23"/>
      <c r="B123" s="23"/>
      <c r="C123" s="23"/>
      <c r="D123" s="23"/>
      <c r="E123" s="23"/>
      <c r="F123" s="23"/>
      <c r="G123" s="23"/>
      <c r="H123" s="23"/>
    </row>
    <row r="124" customFormat="false" ht="15" hidden="false" customHeight="true" outlineLevel="0" collapsed="false">
      <c r="A124" s="22" t="s">
        <v>118</v>
      </c>
      <c r="B124" s="22"/>
      <c r="C124" s="22"/>
      <c r="D124" s="22"/>
      <c r="E124" s="22"/>
      <c r="F124" s="22"/>
      <c r="G124" s="22"/>
      <c r="H124" s="22"/>
    </row>
    <row r="125" customFormat="false" ht="15.75" hidden="false" customHeight="true" outlineLevel="0" collapsed="false">
      <c r="A125" s="24" t="s">
        <v>119</v>
      </c>
      <c r="B125" s="23"/>
      <c r="C125" s="25" t="n">
        <v>20582</v>
      </c>
      <c r="D125" s="25" t="n">
        <v>20969</v>
      </c>
      <c r="E125" s="25" t="n">
        <v>21561</v>
      </c>
      <c r="F125" s="25" t="n">
        <v>22341</v>
      </c>
      <c r="G125" s="26" t="n">
        <f aca="false">F125</f>
        <v>22341</v>
      </c>
      <c r="H125" s="26" t="n">
        <f aca="false">G125</f>
        <v>22341</v>
      </c>
    </row>
    <row r="126" customFormat="false" ht="15.75" hidden="false" customHeight="true" outlineLevel="0" collapsed="false">
      <c r="A126" s="24" t="s">
        <v>120</v>
      </c>
      <c r="B126" s="23"/>
      <c r="C126" s="26" t="n">
        <f aca="false">C90</f>
        <v>71019</v>
      </c>
      <c r="D126" s="26" t="n">
        <f aca="false">D90</f>
        <v>73782</v>
      </c>
      <c r="E126" s="26" t="n">
        <f aca="false">E90</f>
        <v>76054</v>
      </c>
      <c r="F126" s="26" t="n">
        <f aca="false">F90</f>
        <v>80382</v>
      </c>
      <c r="G126" s="26" t="n">
        <f aca="false">G90</f>
        <v>83687.860355625</v>
      </c>
      <c r="H126" s="26" t="n">
        <f aca="false">H90</f>
        <v>87163.4283472737</v>
      </c>
    </row>
    <row r="127" customFormat="false" ht="15.75" hidden="false" customHeight="true" outlineLevel="0" collapsed="false">
      <c r="A127" s="24" t="s">
        <v>121</v>
      </c>
      <c r="B127" s="23"/>
      <c r="C127" s="25" t="n">
        <v>-67496</v>
      </c>
      <c r="D127" s="25" t="n">
        <v>-68810</v>
      </c>
      <c r="E127" s="25" t="n">
        <v>-72759</v>
      </c>
      <c r="F127" s="25" t="n">
        <v>-70554</v>
      </c>
      <c r="G127" s="26" t="n">
        <f aca="false">F127+G154</f>
        <v>-85295.8065741182</v>
      </c>
      <c r="H127" s="26" t="n">
        <f aca="false">G127+H154</f>
        <v>-85295.8065741182</v>
      </c>
    </row>
    <row r="128" customFormat="false" ht="15.75" hidden="false" customHeight="true" outlineLevel="0" collapsed="false">
      <c r="A128" s="24" t="s">
        <v>122</v>
      </c>
      <c r="B128" s="23"/>
      <c r="C128" s="25" t="n">
        <v>1721</v>
      </c>
      <c r="D128" s="25" t="n">
        <v>1539</v>
      </c>
      <c r="E128" s="25" t="n">
        <v>1516</v>
      </c>
      <c r="F128" s="25" t="n">
        <v>2106</v>
      </c>
      <c r="G128" s="26" t="n">
        <f aca="false">F128</f>
        <v>2106</v>
      </c>
      <c r="H128" s="26" t="n">
        <f aca="false">G128</f>
        <v>2106</v>
      </c>
    </row>
    <row r="129" customFormat="false" ht="16.5" hidden="false" customHeight="true" outlineLevel="0" collapsed="false">
      <c r="A129" s="27" t="s">
        <v>123</v>
      </c>
      <c r="B129" s="28"/>
      <c r="C129" s="29" t="n">
        <f aca="false">C125+C126+C127+C128</f>
        <v>25826</v>
      </c>
      <c r="D129" s="29" t="n">
        <f aca="false">D125+D126+D127+D128</f>
        <v>27480</v>
      </c>
      <c r="E129" s="29" t="n">
        <f aca="false">E125+E126+E127+E128</f>
        <v>26372</v>
      </c>
      <c r="F129" s="29" t="n">
        <f aca="false">F125+F126+F127+F128</f>
        <v>34275</v>
      </c>
      <c r="G129" s="29" t="n">
        <f aca="false">G125+G126+G127+G128</f>
        <v>22839.0537815069</v>
      </c>
      <c r="H129" s="29" t="n">
        <f aca="false">H125+H126+H127+H128</f>
        <v>26314.6217731556</v>
      </c>
    </row>
    <row r="130" customFormat="false" ht="4.5" hidden="false" customHeight="true" outlineLevel="0" collapsed="false">
      <c r="A130" s="23"/>
      <c r="B130" s="23"/>
      <c r="C130" s="23"/>
      <c r="D130" s="23"/>
      <c r="E130" s="23"/>
      <c r="F130" s="23"/>
      <c r="G130" s="23"/>
      <c r="H130" s="23"/>
    </row>
    <row r="131" customFormat="false" ht="16.5" hidden="false" customHeight="true" outlineLevel="0" collapsed="false">
      <c r="A131" s="27" t="s">
        <v>124</v>
      </c>
      <c r="B131" s="28"/>
      <c r="C131" s="29" t="n">
        <f aca="false">C122+C129</f>
        <v>92763</v>
      </c>
      <c r="D131" s="29" t="n">
        <f aca="false">D122+D129</f>
        <v>97703</v>
      </c>
      <c r="E131" s="29" t="n">
        <f aca="false">E122+E129</f>
        <v>100549</v>
      </c>
      <c r="F131" s="29" t="n">
        <f aca="false">F122+F129</f>
        <v>104816</v>
      </c>
      <c r="G131" s="29" t="n">
        <f aca="false">G122+G129</f>
        <v>89495.9435760274</v>
      </c>
      <c r="H131" s="29" t="n">
        <f aca="false">H122+H129</f>
        <v>88767.9560574022</v>
      </c>
    </row>
    <row r="132" customFormat="false" ht="4.5" hidden="false" customHeight="true" outlineLevel="0" collapsed="false">
      <c r="A132" s="23"/>
      <c r="B132" s="23"/>
      <c r="C132" s="23"/>
      <c r="D132" s="23"/>
      <c r="E132" s="23"/>
      <c r="F132" s="23"/>
      <c r="G132" s="23"/>
      <c r="H132" s="23"/>
    </row>
    <row r="133" customFormat="false" ht="16.5" hidden="false" customHeight="true" outlineLevel="0" collapsed="false">
      <c r="A133" s="42" t="s">
        <v>125</v>
      </c>
      <c r="B133" s="23"/>
      <c r="C133" s="43" t="n">
        <f aca="false">C108-C131</f>
        <v>0</v>
      </c>
      <c r="D133" s="43" t="n">
        <f aca="false">D108-D131</f>
        <v>0</v>
      </c>
      <c r="E133" s="43" t="n">
        <f aca="false">E108-E131</f>
        <v>0</v>
      </c>
      <c r="F133" s="43" t="n">
        <f aca="false">F108-F131</f>
        <v>0</v>
      </c>
      <c r="G133" s="43" t="n">
        <f aca="false">G108-G131</f>
        <v>0</v>
      </c>
      <c r="H133" s="43" t="n">
        <f aca="false">H108-H131</f>
        <v>0</v>
      </c>
    </row>
    <row r="134" customFormat="false" ht="12" hidden="false" customHeight="true" outlineLevel="0" collapsed="false">
      <c r="A134" s="23"/>
      <c r="B134" s="23"/>
      <c r="C134" s="23"/>
      <c r="D134" s="23"/>
      <c r="E134" s="23"/>
      <c r="F134" s="23"/>
      <c r="G134" s="23"/>
      <c r="H134" s="23"/>
    </row>
    <row r="135" customFormat="false" ht="15" hidden="false" customHeight="true" outlineLevel="0" collapsed="false">
      <c r="A135" s="22" t="s">
        <v>126</v>
      </c>
      <c r="B135" s="22"/>
      <c r="C135" s="22"/>
      <c r="D135" s="22"/>
      <c r="E135" s="22"/>
      <c r="F135" s="22"/>
      <c r="G135" s="22"/>
      <c r="H135" s="22"/>
    </row>
    <row r="136" customFormat="false" ht="4.5" hidden="false" customHeight="true" outlineLevel="0" collapsed="false">
      <c r="A136" s="23"/>
      <c r="B136" s="23"/>
      <c r="C136" s="23"/>
      <c r="D136" s="23"/>
      <c r="E136" s="23"/>
      <c r="F136" s="23"/>
      <c r="G136" s="23"/>
      <c r="H136" s="23"/>
    </row>
    <row r="137" customFormat="false" ht="15" hidden="false" customHeight="true" outlineLevel="0" collapsed="false">
      <c r="A137" s="22" t="s">
        <v>127</v>
      </c>
      <c r="B137" s="22"/>
      <c r="C137" s="22"/>
      <c r="D137" s="22"/>
      <c r="E137" s="22"/>
      <c r="F137" s="22"/>
      <c r="G137" s="22"/>
      <c r="H137" s="22"/>
    </row>
    <row r="138" customFormat="false" ht="15.75" hidden="false" customHeight="true" outlineLevel="0" collapsed="false">
      <c r="A138" s="24" t="s">
        <v>128</v>
      </c>
      <c r="B138" s="23"/>
      <c r="C138" s="26" t="n">
        <f aca="false">C36</f>
        <v>7862</v>
      </c>
      <c r="D138" s="26" t="n">
        <f aca="false">D36</f>
        <v>8668</v>
      </c>
      <c r="E138" s="26" t="n">
        <f aca="false">E36</f>
        <v>8586</v>
      </c>
      <c r="F138" s="26" t="n">
        <f aca="false">F36</f>
        <v>11301</v>
      </c>
      <c r="G138" s="26" t="n">
        <f aca="false">G36</f>
        <v>13223.4414225</v>
      </c>
      <c r="H138" s="26" t="n">
        <f aca="false">H36</f>
        <v>13902.271966595</v>
      </c>
    </row>
    <row r="139" customFormat="false" ht="15.75" hidden="false" customHeight="true" outlineLevel="0" collapsed="false">
      <c r="A139" s="24" t="s">
        <v>129</v>
      </c>
      <c r="B139" s="23"/>
      <c r="C139" s="26" t="n">
        <f aca="false">-C55</f>
        <v>1260</v>
      </c>
      <c r="D139" s="26" t="n">
        <f aca="false">-D55</f>
        <v>1128</v>
      </c>
      <c r="E139" s="26" t="n">
        <f aca="false">-E55</f>
        <v>1075</v>
      </c>
      <c r="F139" s="26" t="n">
        <f aca="false">-F55</f>
        <v>1050</v>
      </c>
      <c r="G139" s="26" t="n">
        <f aca="false">-G55</f>
        <v>1057.43</v>
      </c>
      <c r="H139" s="26" t="n">
        <f aca="false">-H55</f>
        <v>1184.748862</v>
      </c>
    </row>
    <row r="140" customFormat="false" ht="15.75" hidden="false" customHeight="true" outlineLevel="0" collapsed="false">
      <c r="A140" s="24" t="s">
        <v>130</v>
      </c>
      <c r="B140" s="23"/>
      <c r="C140" s="26" t="n">
        <f aca="false">C81</f>
        <v>0</v>
      </c>
      <c r="D140" s="26" t="n">
        <f aca="false">D81</f>
        <v>928.17808219178</v>
      </c>
      <c r="E140" s="26" t="n">
        <f aca="false">E81</f>
        <v>1039.62191780822</v>
      </c>
      <c r="F140" s="26" t="n">
        <f aca="false">F81</f>
        <v>-4756.16164383562</v>
      </c>
      <c r="G140" s="26" t="n">
        <f aca="false">G81</f>
        <v>1787.39041849315</v>
      </c>
      <c r="H140" s="26" t="n">
        <f aca="false">H81</f>
        <v>456.86952092466</v>
      </c>
    </row>
    <row r="141" customFormat="false" ht="15.75" hidden="false" customHeight="true" outlineLevel="0" collapsed="false">
      <c r="A141" s="24" t="s">
        <v>131</v>
      </c>
      <c r="B141" s="23"/>
      <c r="C141" s="25" t="n">
        <v>792</v>
      </c>
      <c r="D141" s="25" t="n">
        <v>614</v>
      </c>
      <c r="E141" s="25" t="n">
        <v>1315</v>
      </c>
      <c r="F141" s="25" t="n">
        <v>429</v>
      </c>
      <c r="G141" s="26" t="n">
        <v>0</v>
      </c>
      <c r="H141" s="26" t="n">
        <v>0</v>
      </c>
    </row>
    <row r="142" customFormat="false" ht="16.5" hidden="false" customHeight="true" outlineLevel="0" collapsed="false">
      <c r="A142" s="27" t="s">
        <v>132</v>
      </c>
      <c r="B142" s="28"/>
      <c r="C142" s="29" t="n">
        <f aca="false">C138+C139+C140+C141</f>
        <v>9914</v>
      </c>
      <c r="D142" s="29" t="n">
        <f aca="false">D138+D139+D140+D141</f>
        <v>11338.1780821918</v>
      </c>
      <c r="E142" s="29" t="n">
        <f aca="false">E138+E139+E140+E141</f>
        <v>12015.6219178082</v>
      </c>
      <c r="F142" s="29" t="n">
        <f aca="false">F138+F139+F140+F141</f>
        <v>8023.83835616438</v>
      </c>
      <c r="G142" s="29" t="n">
        <f aca="false">G138+G139+G140+G141</f>
        <v>16068.2618409932</v>
      </c>
      <c r="H142" s="29" t="n">
        <f aca="false">H138+H139+H140+H141</f>
        <v>15543.8903495197</v>
      </c>
    </row>
    <row r="143" customFormat="false" ht="15.75" hidden="false" customHeight="true" outlineLevel="0" collapsed="false">
      <c r="A143" s="24" t="s">
        <v>133</v>
      </c>
      <c r="B143" s="23"/>
      <c r="C143" s="30" t="n">
        <f aca="false">C142/C6</f>
        <v>0.230536694260999</v>
      </c>
      <c r="D143" s="30" t="n">
        <f aca="false">D142/D6</f>
        <v>0.247807362901425</v>
      </c>
      <c r="E143" s="30" t="n">
        <f aca="false">E142/E6</f>
        <v>0.255320157196154</v>
      </c>
      <c r="F143" s="30" t="n">
        <f aca="false">F142/F6</f>
        <v>0.167369023511491</v>
      </c>
      <c r="G143" s="30" t="n">
        <f aca="false">G142/G6</f>
        <v>0.31920707776708</v>
      </c>
      <c r="H143" s="30" t="n">
        <f aca="false">H142/H6</f>
        <v>0.294085787883731</v>
      </c>
    </row>
    <row r="144" customFormat="false" ht="4.5" hidden="false" customHeight="true" outlineLevel="0" collapsed="false">
      <c r="A144" s="23"/>
      <c r="B144" s="23"/>
      <c r="C144" s="23"/>
      <c r="D144" s="23"/>
      <c r="E144" s="23"/>
      <c r="F144" s="23"/>
      <c r="G144" s="23"/>
      <c r="H144" s="23"/>
    </row>
    <row r="145" customFormat="false" ht="15" hidden="false" customHeight="true" outlineLevel="0" collapsed="false">
      <c r="A145" s="22" t="s">
        <v>134</v>
      </c>
      <c r="B145" s="22"/>
      <c r="C145" s="22"/>
      <c r="D145" s="22"/>
      <c r="E145" s="22"/>
      <c r="F145" s="22"/>
      <c r="G145" s="22"/>
      <c r="H145" s="22"/>
    </row>
    <row r="146" customFormat="false" ht="15.75" hidden="false" customHeight="true" outlineLevel="0" collapsed="false">
      <c r="A146" s="24" t="s">
        <v>135</v>
      </c>
      <c r="B146" s="23"/>
      <c r="C146" s="26" t="n">
        <f aca="false">-C54</f>
        <v>-1484</v>
      </c>
      <c r="D146" s="26" t="n">
        <f aca="false">-D54</f>
        <v>-1852</v>
      </c>
      <c r="E146" s="26" t="n">
        <f aca="false">-E54</f>
        <v>-2064</v>
      </c>
      <c r="F146" s="26" t="n">
        <f aca="false">-F54</f>
        <v>-2112</v>
      </c>
      <c r="G146" s="26" t="n">
        <f aca="false">-G54</f>
        <v>-2214.8742</v>
      </c>
      <c r="H146" s="26" t="n">
        <f aca="false">-H54</f>
        <v>-2325.61791</v>
      </c>
    </row>
    <row r="147" customFormat="false" ht="15.75" hidden="false" customHeight="true" outlineLevel="0" collapsed="false">
      <c r="A147" s="24" t="s">
        <v>136</v>
      </c>
      <c r="B147" s="23"/>
      <c r="C147" s="25" t="n">
        <v>385</v>
      </c>
      <c r="D147" s="25" t="n">
        <v>368</v>
      </c>
      <c r="E147" s="25" t="n">
        <v>3170</v>
      </c>
      <c r="F147" s="25" t="n">
        <v>3106</v>
      </c>
      <c r="G147" s="26" t="n">
        <v>0</v>
      </c>
      <c r="H147" s="26" t="n">
        <v>0</v>
      </c>
    </row>
    <row r="148" customFormat="false" ht="15.75" hidden="false" customHeight="true" outlineLevel="0" collapsed="false">
      <c r="A148" s="24" t="s">
        <v>137</v>
      </c>
      <c r="B148" s="23"/>
      <c r="C148" s="25" t="n">
        <v>-1664</v>
      </c>
      <c r="D148" s="25" t="n">
        <v>-4090</v>
      </c>
      <c r="E148" s="25" t="n">
        <v>1368</v>
      </c>
      <c r="F148" s="25" t="n">
        <v>-3053</v>
      </c>
      <c r="G148" s="26" t="n">
        <v>0</v>
      </c>
      <c r="H148" s="26" t="n">
        <v>0</v>
      </c>
    </row>
    <row r="149" customFormat="false" ht="16.5" hidden="false" customHeight="true" outlineLevel="0" collapsed="false">
      <c r="A149" s="27" t="s">
        <v>138</v>
      </c>
      <c r="B149" s="28"/>
      <c r="C149" s="29" t="n">
        <f aca="false">C146+C147+C148</f>
        <v>-2763</v>
      </c>
      <c r="D149" s="29" t="n">
        <f aca="false">D146+D147+D148</f>
        <v>-5574</v>
      </c>
      <c r="E149" s="29" t="n">
        <f aca="false">E146+E147+E148</f>
        <v>2474</v>
      </c>
      <c r="F149" s="29" t="n">
        <f aca="false">F146+F147+F148</f>
        <v>-2059</v>
      </c>
      <c r="G149" s="29" t="n">
        <f aca="false">G146+G147+G148</f>
        <v>-2214.8742</v>
      </c>
      <c r="H149" s="29" t="n">
        <f aca="false">H146+H147+H148</f>
        <v>-2325.61791</v>
      </c>
    </row>
    <row r="150" customFormat="false" ht="4.5" hidden="false" customHeight="true" outlineLevel="0" collapsed="false">
      <c r="A150" s="23"/>
      <c r="B150" s="23"/>
      <c r="C150" s="23"/>
      <c r="D150" s="23"/>
      <c r="E150" s="23"/>
      <c r="F150" s="23"/>
      <c r="G150" s="23"/>
      <c r="H150" s="23"/>
    </row>
    <row r="151" customFormat="false" ht="15" hidden="false" customHeight="true" outlineLevel="0" collapsed="false">
      <c r="A151" s="22" t="s">
        <v>139</v>
      </c>
      <c r="B151" s="22"/>
      <c r="C151" s="22"/>
      <c r="D151" s="22"/>
      <c r="E151" s="22"/>
      <c r="F151" s="22"/>
      <c r="G151" s="22"/>
      <c r="H151" s="22"/>
    </row>
    <row r="152" customFormat="false" ht="15.75" hidden="false" customHeight="true" outlineLevel="0" collapsed="false">
      <c r="A152" s="24" t="s">
        <v>140</v>
      </c>
      <c r="B152" s="23"/>
      <c r="C152" s="26" t="n">
        <f aca="false">C88</f>
        <v>-7616</v>
      </c>
      <c r="D152" s="26" t="n">
        <f aca="false">D88</f>
        <v>-7990</v>
      </c>
      <c r="E152" s="26" t="n">
        <f aca="false">E88</f>
        <v>-8333</v>
      </c>
      <c r="F152" s="26" t="n">
        <f aca="false">F88</f>
        <v>-8718</v>
      </c>
      <c r="G152" s="26" t="n">
        <f aca="false">G88</f>
        <v>-9917.581066875</v>
      </c>
      <c r="H152" s="26" t="n">
        <f aca="false">H88</f>
        <v>-10426.7039749463</v>
      </c>
    </row>
    <row r="153" customFormat="false" ht="15.75" hidden="false" customHeight="true" outlineLevel="0" collapsed="false">
      <c r="A153" s="24" t="s">
        <v>141</v>
      </c>
      <c r="B153" s="23"/>
      <c r="C153" s="26" t="n">
        <f aca="false">C64+C65</f>
        <v>-958</v>
      </c>
      <c r="D153" s="26" t="n">
        <f aca="false">D64+D65</f>
        <v>1857</v>
      </c>
      <c r="E153" s="26" t="n">
        <f aca="false">E64+E65</f>
        <v>2528</v>
      </c>
      <c r="F153" s="26" t="n">
        <f aca="false">F64+F65</f>
        <v>13</v>
      </c>
      <c r="G153" s="26" t="n">
        <f aca="false">G64+G65</f>
        <v>-5000</v>
      </c>
      <c r="H153" s="26" t="n">
        <f aca="false">H64+H65</f>
        <v>-5000</v>
      </c>
    </row>
    <row r="154" customFormat="false" ht="15.75" hidden="false" customHeight="true" outlineLevel="0" collapsed="false">
      <c r="A154" s="24" t="s">
        <v>142</v>
      </c>
      <c r="B154" s="23"/>
      <c r="C154" s="25" t="n">
        <v>-581</v>
      </c>
      <c r="D154" s="25" t="n">
        <v>-1750</v>
      </c>
      <c r="E154" s="25" t="n">
        <v>-1048</v>
      </c>
      <c r="F154" s="25" t="n">
        <v>-433</v>
      </c>
      <c r="G154" s="26" t="n">
        <f aca="false">-MAX(0,($G159+$G142+$G149+$G152+$G153+$G155)-Assumptions!$B$38)</f>
        <v>-14741.8065741182</v>
      </c>
      <c r="H154" s="26" t="n">
        <f aca="false">-MAX(0,($H159+$H142+$H149+$H152+$H153+$H155)-Assumptions!$B$38)</f>
        <v>-0</v>
      </c>
    </row>
    <row r="155" customFormat="false" ht="15.75" hidden="false" customHeight="true" outlineLevel="0" collapsed="false">
      <c r="A155" s="24" t="s">
        <v>143</v>
      </c>
      <c r="B155" s="23"/>
      <c r="C155" s="25" t="n">
        <v>-1095</v>
      </c>
      <c r="D155" s="25" t="n">
        <v>-465</v>
      </c>
      <c r="E155" s="25" t="n">
        <v>-31</v>
      </c>
      <c r="F155" s="25" t="n">
        <v>1059</v>
      </c>
      <c r="G155" s="26" t="n">
        <v>0</v>
      </c>
      <c r="H155" s="26" t="n">
        <v>0</v>
      </c>
    </row>
    <row r="156" customFormat="false" ht="16.5" hidden="false" customHeight="true" outlineLevel="0" collapsed="false">
      <c r="A156" s="27" t="s">
        <v>144</v>
      </c>
      <c r="B156" s="28"/>
      <c r="C156" s="29" t="n">
        <f aca="false">C152+C153+C154+C155</f>
        <v>-10250</v>
      </c>
      <c r="D156" s="29" t="n">
        <f aca="false">D152+D153+D154+D155</f>
        <v>-8348</v>
      </c>
      <c r="E156" s="29" t="n">
        <f aca="false">E152+E153+E154+E155</f>
        <v>-6884</v>
      </c>
      <c r="F156" s="29" t="n">
        <f aca="false">F152+F153+F154+F155</f>
        <v>-8079</v>
      </c>
      <c r="G156" s="29" t="n">
        <f aca="false">G152+G153+G154+G155</f>
        <v>-29659.3876409932</v>
      </c>
      <c r="H156" s="29" t="n">
        <f aca="false">H152+H153+H154+H155</f>
        <v>-15426.7039749463</v>
      </c>
    </row>
    <row r="157" customFormat="false" ht="4.5" hidden="false" customHeight="true" outlineLevel="0" collapsed="false">
      <c r="A157" s="23"/>
      <c r="B157" s="23"/>
      <c r="C157" s="23"/>
      <c r="D157" s="23"/>
      <c r="E157" s="23"/>
      <c r="F157" s="23"/>
      <c r="G157" s="23"/>
      <c r="H157" s="23"/>
    </row>
    <row r="158" customFormat="false" ht="16.5" hidden="false" customHeight="true" outlineLevel="0" collapsed="false">
      <c r="A158" s="27" t="s">
        <v>145</v>
      </c>
      <c r="B158" s="28"/>
      <c r="C158" s="29" t="n">
        <f aca="false">C142+C149+C156</f>
        <v>-3099</v>
      </c>
      <c r="D158" s="29" t="n">
        <f aca="false">D142+D149+D156</f>
        <v>-2583.82191780822</v>
      </c>
      <c r="E158" s="29" t="n">
        <f aca="false">E142+E149+E156</f>
        <v>7605.62191780822</v>
      </c>
      <c r="F158" s="29" t="n">
        <f aca="false">F142+F149+F156</f>
        <v>-2114.16164383562</v>
      </c>
      <c r="G158" s="29" t="n">
        <f aca="false">G142+G149+G156</f>
        <v>-15806</v>
      </c>
      <c r="H158" s="29" t="n">
        <f aca="false">H142+H149+H156</f>
        <v>-2208.43153542659</v>
      </c>
    </row>
    <row r="159" customFormat="false" ht="15.75" hidden="false" customHeight="true" outlineLevel="0" collapsed="false">
      <c r="A159" s="24" t="s">
        <v>146</v>
      </c>
      <c r="B159" s="23"/>
      <c r="C159" s="33" t="n">
        <v>12625</v>
      </c>
      <c r="D159" s="33" t="n">
        <v>11631</v>
      </c>
      <c r="E159" s="33" t="n">
        <v>13663</v>
      </c>
      <c r="F159" s="33" t="n">
        <v>14571</v>
      </c>
      <c r="G159" s="26" t="n">
        <f aca="false">F160</f>
        <v>15806</v>
      </c>
      <c r="H159" s="26" t="n">
        <f aca="false">G160</f>
        <v>0</v>
      </c>
    </row>
    <row r="160" customFormat="false" ht="16.5" hidden="false" customHeight="true" outlineLevel="0" collapsed="false">
      <c r="A160" s="27" t="s">
        <v>147</v>
      </c>
      <c r="B160" s="28"/>
      <c r="C160" s="41" t="n">
        <v>11631</v>
      </c>
      <c r="D160" s="41" t="n">
        <v>13663</v>
      </c>
      <c r="E160" s="41" t="n">
        <v>14571</v>
      </c>
      <c r="F160" s="41" t="n">
        <v>15806</v>
      </c>
      <c r="G160" s="29" t="n">
        <f aca="false">G159+G158</f>
        <v>0</v>
      </c>
      <c r="H160" s="29" t="n">
        <f aca="false">H159+H158</f>
        <v>-2208.43153542659</v>
      </c>
    </row>
    <row r="161" customFormat="false" ht="4.5" hidden="false" customHeight="true" outlineLevel="0" collapsed="false">
      <c r="A161" s="23"/>
      <c r="B161" s="23"/>
      <c r="C161" s="23"/>
      <c r="D161" s="23"/>
      <c r="E161" s="23"/>
      <c r="F161" s="23"/>
      <c r="G161" s="23"/>
      <c r="H161" s="23"/>
    </row>
    <row r="162" customFormat="false" ht="15" hidden="false" customHeight="true" outlineLevel="0" collapsed="false">
      <c r="A162" s="22" t="s">
        <v>148</v>
      </c>
      <c r="B162" s="22"/>
      <c r="C162" s="22"/>
      <c r="D162" s="22"/>
      <c r="E162" s="22"/>
      <c r="F162" s="22"/>
      <c r="G162" s="22"/>
      <c r="H162" s="22"/>
    </row>
    <row r="163" customFormat="false" ht="16.5" hidden="false" customHeight="true" outlineLevel="0" collapsed="false">
      <c r="A163" s="27" t="s">
        <v>149</v>
      </c>
      <c r="B163" s="28"/>
      <c r="C163" s="29" t="n">
        <f aca="false">C142+C146</f>
        <v>8430</v>
      </c>
      <c r="D163" s="29" t="n">
        <f aca="false">D142+D146</f>
        <v>9486.17808219178</v>
      </c>
      <c r="E163" s="29" t="n">
        <f aca="false">E142+E146</f>
        <v>9951.62191780822</v>
      </c>
      <c r="F163" s="29" t="n">
        <f aca="false">F142+F146</f>
        <v>5911.83835616438</v>
      </c>
      <c r="G163" s="29" t="n">
        <f aca="false">G142+G146</f>
        <v>13853.3876409932</v>
      </c>
      <c r="H163" s="29" t="n">
        <f aca="false">H142+H146</f>
        <v>13218.2724395197</v>
      </c>
    </row>
    <row r="164" customFormat="false" ht="15.75" hidden="false" customHeight="true" outlineLevel="0" collapsed="false">
      <c r="A164" s="24" t="s">
        <v>150</v>
      </c>
      <c r="B164" s="23"/>
      <c r="C164" s="30" t="n">
        <f aca="false">C163/C6</f>
        <v>0.196028276439401</v>
      </c>
      <c r="D164" s="30" t="n">
        <f aca="false">D163/D6</f>
        <v>0.207330027586479</v>
      </c>
      <c r="E164" s="30" t="n">
        <f aca="false">E163/E6</f>
        <v>0.211462185627339</v>
      </c>
      <c r="F164" s="30" t="n">
        <f aca="false">F163/F6</f>
        <v>0.123314873618915</v>
      </c>
      <c r="G164" s="30" t="n">
        <f aca="false">G163/G6</f>
        <v>0.27520707776708</v>
      </c>
      <c r="H164" s="30" t="n">
        <f aca="false">H163/H6</f>
        <v>0.250085787883731</v>
      </c>
    </row>
    <row r="165" customFormat="false" ht="12" hidden="false" customHeight="true" outlineLevel="0" collapsed="false">
      <c r="A165" s="23"/>
      <c r="B165" s="23"/>
      <c r="C165" s="23"/>
      <c r="D165" s="23"/>
      <c r="E165" s="23"/>
      <c r="F165" s="23"/>
      <c r="G165" s="23"/>
      <c r="H165" s="23"/>
    </row>
    <row r="166" customFormat="false" ht="15" hidden="false" customHeight="true" outlineLevel="0" collapsed="false">
      <c r="A166" s="22" t="s">
        <v>151</v>
      </c>
      <c r="B166" s="22"/>
      <c r="C166" s="22"/>
      <c r="D166" s="22"/>
      <c r="E166" s="22"/>
      <c r="F166" s="22"/>
      <c r="G166" s="22"/>
      <c r="H166" s="22"/>
    </row>
    <row r="167" customFormat="false" ht="4.5" hidden="false" customHeight="true" outlineLevel="0" collapsed="false">
      <c r="A167" s="23"/>
      <c r="B167" s="23"/>
      <c r="C167" s="23"/>
      <c r="D167" s="23"/>
      <c r="E167" s="23"/>
      <c r="F167" s="23"/>
      <c r="G167" s="23"/>
      <c r="H167" s="23"/>
    </row>
    <row r="168" customFormat="false" ht="15" hidden="false" customHeight="true" outlineLevel="0" collapsed="false">
      <c r="A168" s="22" t="s">
        <v>152</v>
      </c>
      <c r="B168" s="22"/>
      <c r="C168" s="22"/>
      <c r="D168" s="22"/>
      <c r="E168" s="22"/>
      <c r="F168" s="22"/>
      <c r="G168" s="22"/>
      <c r="H168" s="22"/>
    </row>
    <row r="169" customFormat="false" ht="15.75" hidden="false" customHeight="true" outlineLevel="0" collapsed="false">
      <c r="A169" s="24" t="s">
        <v>153</v>
      </c>
      <c r="B169" s="23"/>
      <c r="C169" s="30" t="n">
        <f aca="false">IFERROR(C36/C129,0)</f>
        <v>0.304421900410439</v>
      </c>
      <c r="D169" s="30" t="n">
        <f aca="false">IFERROR(D36/D129,0)</f>
        <v>0.315429403202329</v>
      </c>
      <c r="E169" s="30" t="n">
        <f aca="false">IFERROR(E36/E129,0)</f>
        <v>0.32557257697558</v>
      </c>
      <c r="F169" s="30" t="n">
        <f aca="false">IFERROR(F36/F129,0)</f>
        <v>0.329715536105033</v>
      </c>
      <c r="G169" s="30" t="n">
        <f aca="false">IFERROR(G36/G129,0)</f>
        <v>0.578983768285849</v>
      </c>
      <c r="H169" s="30" t="n">
        <f aca="false">IFERROR(H36/H129,0)</f>
        <v>0.528309777219643</v>
      </c>
    </row>
    <row r="170" customFormat="false" ht="15.75" hidden="false" customHeight="true" outlineLevel="0" collapsed="false">
      <c r="A170" s="24" t="s">
        <v>154</v>
      </c>
      <c r="B170" s="23"/>
      <c r="C170" s="30" t="n">
        <f aca="false">IFERROR(C36/C108,0)</f>
        <v>0.0847536194387849</v>
      </c>
      <c r="D170" s="30" t="n">
        <f aca="false">IFERROR(D36/D108,0)</f>
        <v>0.0887178489913309</v>
      </c>
      <c r="E170" s="30" t="n">
        <f aca="false">IFERROR(E36/E108,0)</f>
        <v>0.0853912022993764</v>
      </c>
      <c r="F170" s="30" t="n">
        <f aca="false">IFERROR(F36/F108,0)</f>
        <v>0.107817508777286</v>
      </c>
      <c r="G170" s="30" t="n">
        <f aca="false">IFERROR(G36/G108,0)</f>
        <v>0.147754645564093</v>
      </c>
      <c r="H170" s="30" t="n">
        <f aca="false">IFERROR(H36/H108,0)</f>
        <v>0.156613631585761</v>
      </c>
    </row>
    <row r="171" customFormat="false" ht="4.5" hidden="false" customHeight="true" outlineLevel="0" collapsed="false">
      <c r="A171" s="23"/>
      <c r="B171" s="23"/>
      <c r="C171" s="23"/>
      <c r="D171" s="23"/>
      <c r="E171" s="23"/>
      <c r="F171" s="23"/>
      <c r="G171" s="23"/>
      <c r="H171" s="23"/>
    </row>
    <row r="172" customFormat="false" ht="15" hidden="false" customHeight="true" outlineLevel="0" collapsed="false">
      <c r="A172" s="22" t="s">
        <v>155</v>
      </c>
      <c r="B172" s="22"/>
      <c r="C172" s="22"/>
      <c r="D172" s="22"/>
      <c r="E172" s="22"/>
      <c r="F172" s="22"/>
      <c r="G172" s="22"/>
      <c r="H172" s="22"/>
    </row>
    <row r="173" customFormat="false" ht="15.75" hidden="false" customHeight="true" outlineLevel="0" collapsed="false">
      <c r="A173" s="24" t="s">
        <v>156</v>
      </c>
      <c r="B173" s="23"/>
      <c r="C173" s="26" t="n">
        <f aca="false">(C112+C117)-C95</f>
        <v>27518</v>
      </c>
      <c r="D173" s="26" t="n">
        <f aca="false">(D112+D117)-D95</f>
        <v>28401</v>
      </c>
      <c r="E173" s="26" t="n">
        <f aca="false">(E112+E117)-E95</f>
        <v>29951</v>
      </c>
      <c r="F173" s="26" t="n">
        <f aca="false">(F112+F117)-F95</f>
        <v>29686</v>
      </c>
      <c r="G173" s="26" t="n">
        <f aca="false">(G112+G117)-G95</f>
        <v>40492</v>
      </c>
      <c r="H173" s="26" t="n">
        <f aca="false">(H112+H117)-H95</f>
        <v>37700.4315354266</v>
      </c>
    </row>
    <row r="174" customFormat="false" ht="15.75" hidden="false" customHeight="true" outlineLevel="0" collapsed="false">
      <c r="A174" s="24" t="s">
        <v>157</v>
      </c>
      <c r="B174" s="23"/>
      <c r="C174" s="44" t="n">
        <f aca="false">IFERROR(C173/C20,0)</f>
        <v>2.52250435420295</v>
      </c>
      <c r="D174" s="44" t="n">
        <f aca="false">IFERROR(D173/D20,0)</f>
        <v>2.51091857483865</v>
      </c>
      <c r="E174" s="44" t="n">
        <f aca="false">IFERROR(E173/E20,0)</f>
        <v>2.99749799839872</v>
      </c>
      <c r="F174" s="44" t="n">
        <f aca="false">IFERROR(F173/F20,0)</f>
        <v>2.15709925882866</v>
      </c>
      <c r="G174" s="44" t="n">
        <f aca="false">IFERROR(G173/G20,0)</f>
        <v>2.59484336081175</v>
      </c>
      <c r="H174" s="44" t="n">
        <f aca="false">IFERROR(H173/H20,0)</f>
        <v>2.30090633939307</v>
      </c>
    </row>
    <row r="175" customFormat="false" ht="15.75" hidden="false" customHeight="true" outlineLevel="0" collapsed="false">
      <c r="A175" s="24" t="s">
        <v>158</v>
      </c>
      <c r="B175" s="23"/>
      <c r="C175" s="44" t="n">
        <f aca="false">IFERROR(C25/ABS(C30),0)</f>
        <v>10.9399092970522</v>
      </c>
      <c r="D175" s="44" t="n">
        <f aca="false">IFERROR(D25/ABS(D30),0)</f>
        <v>6.66863130320891</v>
      </c>
      <c r="E175" s="44" t="n">
        <f aca="false">IFERROR(E25/ABS(E30),0)</f>
        <v>5.38466183574879</v>
      </c>
      <c r="F175" s="44" t="n">
        <f aca="false">IFERROR(F25/ABS(F30),0)</f>
        <v>7.68561064087062</v>
      </c>
      <c r="G175" s="44" t="n">
        <f aca="false">IFERROR(G25/ABS(G30),0)</f>
        <v>10.1994872690151</v>
      </c>
      <c r="H175" s="44" t="n">
        <f aca="false">IFERROR(H25/ABS(H30),0)</f>
        <v>12.1964868464973</v>
      </c>
    </row>
    <row r="176" customFormat="false" ht="4.5" hidden="false" customHeight="true" outlineLevel="0" collapsed="false">
      <c r="A176" s="23"/>
      <c r="B176" s="23"/>
      <c r="C176" s="23"/>
      <c r="D176" s="23"/>
      <c r="E176" s="23"/>
      <c r="F176" s="23"/>
      <c r="G176" s="23"/>
      <c r="H176" s="23"/>
    </row>
    <row r="177" customFormat="false" ht="15" hidden="false" customHeight="true" outlineLevel="0" collapsed="false">
      <c r="A177" s="22" t="s">
        <v>159</v>
      </c>
      <c r="B177" s="22"/>
      <c r="C177" s="22"/>
      <c r="D177" s="22"/>
      <c r="E177" s="22"/>
      <c r="F177" s="22"/>
      <c r="G177" s="22"/>
      <c r="H177" s="22"/>
    </row>
    <row r="178" customFormat="false" ht="15.75" hidden="false" customHeight="true" outlineLevel="0" collapsed="false">
      <c r="A178" s="24" t="s">
        <v>160</v>
      </c>
      <c r="B178" s="23"/>
      <c r="C178" s="44" t="n">
        <f aca="false">IFERROR(C99/C114,0)</f>
        <v>1.1453559115798</v>
      </c>
      <c r="D178" s="44" t="n">
        <f aca="false">IFERROR(D99/D114,0)</f>
        <v>1.13410546858428</v>
      </c>
      <c r="E178" s="44" t="n">
        <f aca="false">IFERROR(E99/E114,0)</f>
        <v>1.02962493564102</v>
      </c>
      <c r="F178" s="44" t="n">
        <f aca="false">IFERROR(F99/F114,0)</f>
        <v>1.45876603543067</v>
      </c>
      <c r="G178" s="44" t="n">
        <f aca="false">IFERROR(G99/G114,0)</f>
        <v>0.650380455039393</v>
      </c>
      <c r="H178" s="44" t="n">
        <f aca="false">IFERROR(H99/H114,0)</f>
        <v>0.547469486438899</v>
      </c>
    </row>
    <row r="179" customFormat="false" ht="15.75" hidden="false" customHeight="true" outlineLevel="0" collapsed="false">
      <c r="A179" s="24" t="s">
        <v>161</v>
      </c>
      <c r="B179" s="23"/>
      <c r="C179" s="44" t="n">
        <f aca="false">IFERROR((C99-C97)/C114,0)</f>
        <v>0.930744270938958</v>
      </c>
      <c r="D179" s="44" t="n">
        <f aca="false">IFERROR((D99-D97)/D114,0)</f>
        <v>0.946417207585592</v>
      </c>
      <c r="E179" s="44" t="n">
        <f aca="false">IFERROR((E99-E97)/E114,0)</f>
        <v>0.842369994851281</v>
      </c>
      <c r="F179" s="44" t="n">
        <f aca="false">IFERROR((F99-F97)/F114,0)</f>
        <v>1.25083407734599</v>
      </c>
      <c r="G179" s="44" t="n">
        <f aca="false">IFERROR((G99-G97)/G114,0)</f>
        <v>0.562664567133467</v>
      </c>
      <c r="H179" s="44" t="n">
        <f aca="false">IFERROR((H99-H97)/H114,0)</f>
        <v>0.4585305178926</v>
      </c>
    </row>
    <row r="180" customFormat="false" ht="4.5" hidden="false" customHeight="true" outlineLevel="0" collapsed="false">
      <c r="A180" s="23"/>
      <c r="B180" s="23"/>
      <c r="C180" s="23"/>
      <c r="D180" s="23"/>
      <c r="E180" s="23"/>
      <c r="F180" s="23"/>
      <c r="G180" s="23"/>
      <c r="H180" s="23"/>
    </row>
    <row r="181" customFormat="false" ht="15" hidden="false" customHeight="true" outlineLevel="0" collapsed="false">
      <c r="A181" s="22" t="s">
        <v>162</v>
      </c>
      <c r="B181" s="22"/>
      <c r="C181" s="22"/>
      <c r="D181" s="22"/>
      <c r="E181" s="22"/>
      <c r="F181" s="22"/>
      <c r="G181" s="22"/>
      <c r="H181" s="22"/>
    </row>
    <row r="182" customFormat="false" ht="15.75" hidden="false" customHeight="true" outlineLevel="0" collapsed="false">
      <c r="A182" s="24" t="s">
        <v>163</v>
      </c>
      <c r="B182" s="23"/>
      <c r="C182" s="45"/>
      <c r="D182" s="45"/>
      <c r="E182" s="45"/>
      <c r="F182" s="45"/>
      <c r="G182" s="45"/>
      <c r="H182" s="45"/>
    </row>
    <row r="183" customFormat="false" ht="15.75" hidden="false" customHeight="true" outlineLevel="0" collapsed="false">
      <c r="A183" s="46"/>
      <c r="B183" s="47"/>
      <c r="C183" s="48"/>
      <c r="D183" s="48"/>
      <c r="E183" s="48"/>
      <c r="F183" s="48"/>
      <c r="G183" s="48"/>
      <c r="H183" s="48"/>
    </row>
    <row r="184" customFormat="false" ht="15.75" hidden="false" customHeight="true" outlineLevel="0" collapsed="false">
      <c r="A184" s="46"/>
      <c r="B184" s="47"/>
      <c r="C184" s="49"/>
      <c r="D184" s="49"/>
      <c r="E184" s="49"/>
      <c r="F184" s="49"/>
      <c r="G184" s="49"/>
      <c r="H184" s="49"/>
    </row>
    <row r="185" customFormat="false" ht="15.75" hidden="false" customHeight="true" outlineLevel="0" collapsed="false">
      <c r="A185" s="46"/>
      <c r="B185" s="47"/>
      <c r="C185" s="48"/>
      <c r="D185" s="48"/>
      <c r="E185" s="48"/>
      <c r="F185" s="48"/>
      <c r="G185" s="48"/>
      <c r="H185" s="48"/>
    </row>
    <row r="186" customFormat="false" ht="15.75" hidden="false" customHeight="true" outlineLevel="0" collapsed="false">
      <c r="A186" s="46"/>
      <c r="B186" s="47"/>
      <c r="C186" s="49"/>
      <c r="D186" s="49"/>
      <c r="E186" s="49"/>
      <c r="F186" s="49"/>
      <c r="G186" s="49"/>
      <c r="H186" s="49"/>
    </row>
  </sheetData>
  <mergeCells count="27">
    <mergeCell ref="A1:H1"/>
    <mergeCell ref="A2:H2"/>
    <mergeCell ref="A4:H4"/>
    <mergeCell ref="A13:H13"/>
    <mergeCell ref="A28:H28"/>
    <mergeCell ref="A39:H39"/>
    <mergeCell ref="A45:H45"/>
    <mergeCell ref="A51:H51"/>
    <mergeCell ref="A61:H61"/>
    <mergeCell ref="A71:H71"/>
    <mergeCell ref="A84:H84"/>
    <mergeCell ref="A92:H92"/>
    <mergeCell ref="A94:H94"/>
    <mergeCell ref="A101:H101"/>
    <mergeCell ref="A110:H110"/>
    <mergeCell ref="A116:H116"/>
    <mergeCell ref="A124:H124"/>
    <mergeCell ref="A135:H135"/>
    <mergeCell ref="A137:H137"/>
    <mergeCell ref="A145:H145"/>
    <mergeCell ref="A151:H151"/>
    <mergeCell ref="A162:H162"/>
    <mergeCell ref="A166:H166"/>
    <mergeCell ref="A168:H168"/>
    <mergeCell ref="A172:H172"/>
    <mergeCell ref="A177:H177"/>
    <mergeCell ref="A181:H1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2026-06-19T14:18:00Z</dcterms:created>
  <dc:creator>openpyxl</dc:creator>
  <dc:description/>
  <dc:language>en-US</dc:language>
  <cp:lastModifiedBy>Deep Das</cp:lastModifiedBy>
  <dcterms:modified xsi:type="dcterms:W3CDTF">2026-06-28T22:21:04Z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